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DCB980-02DF-4649-8EFA-769A327CC956}" xr6:coauthVersionLast="47" xr6:coauthVersionMax="47" xr10:uidLastSave="{00000000-0000-0000-0000-000000000000}"/>
  <bookViews>
    <workbookView xWindow="12735" yWindow="0" windowWidth="16020" windowHeight="15600" tabRatio="751" firstSheet="13" activeTab="16" xr2:uid="{00000000-000D-0000-FFFF-FFFF00000000}"/>
  </bookViews>
  <sheets>
    <sheet name="01_계약입력" sheetId="1" r:id="rId1"/>
    <sheet name="02_연료입력" sheetId="2" r:id="rId2"/>
    <sheet name="03_COA일정" sheetId="3" r:id="rId3"/>
    <sheet name="04_월별노출" sheetId="4" r:id="rId4"/>
    <sheet name="05_재무입력" sheetId="5" r:id="rId5"/>
    <sheet name="06_월별현금흐름" sheetId="6" r:id="rId6"/>
    <sheet name="07_영업손익입력" sheetId="7" r:id="rId7"/>
    <sheet name="08_항차비용" sheetId="8" r:id="rId8"/>
    <sheet name="09_고정운영비" sheetId="9" r:id="rId9"/>
    <sheet name="10_기준시장값" sheetId="10" r:id="rId10"/>
    <sheet name="11_시장시나리오" sheetId="11" r:id="rId11"/>
    <sheet name="12_월별시장충격" sheetId="12" r:id="rId12"/>
    <sheet name="13_Need 진단" sheetId="14" r:id="rId13"/>
    <sheet name="14_헤지상품매핑" sheetId="15" r:id="rId14"/>
    <sheet name="15_시장데이터" sheetId="16" r:id="rId15"/>
    <sheet name="16_역사변동분석" sheetId="17" r:id="rId16"/>
    <sheet name="17_보호전략" sheetId="18" r:id="rId17"/>
    <sheet name="18_Capacity" sheetId="19" r:id="rId18"/>
    <sheet name="19_프로젝트요약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6" l="1"/>
  <c r="G7" i="6"/>
  <c r="B13" i="19"/>
  <c r="A13" i="19"/>
  <c r="B12" i="19"/>
  <c r="A12" i="19"/>
  <c r="B11" i="19"/>
  <c r="A11" i="19"/>
  <c r="B10" i="19"/>
  <c r="A10" i="19"/>
  <c r="B9" i="19"/>
  <c r="A9" i="19"/>
  <c r="B5" i="19"/>
  <c r="A23" i="18"/>
  <c r="A22" i="18"/>
  <c r="A21" i="18"/>
  <c r="A20" i="18"/>
  <c r="A19" i="18"/>
  <c r="A18" i="18"/>
  <c r="A17" i="18"/>
  <c r="A16" i="18"/>
  <c r="A15" i="18"/>
  <c r="A14" i="18"/>
  <c r="A13" i="18"/>
  <c r="A12" i="18"/>
  <c r="E48" i="17"/>
  <c r="D48" i="17"/>
  <c r="C48" i="17"/>
  <c r="B48" i="17"/>
  <c r="E47" i="17"/>
  <c r="D47" i="17"/>
  <c r="C47" i="17"/>
  <c r="B47" i="17"/>
  <c r="E46" i="17"/>
  <c r="D46" i="17"/>
  <c r="C46" i="17"/>
  <c r="B46" i="17"/>
  <c r="E45" i="17"/>
  <c r="D45" i="17"/>
  <c r="C45" i="17"/>
  <c r="B45" i="17"/>
  <c r="E44" i="17"/>
  <c r="D44" i="17"/>
  <c r="C44" i="17"/>
  <c r="B44" i="17"/>
  <c r="E43" i="17"/>
  <c r="D43" i="17"/>
  <c r="C43" i="17"/>
  <c r="B43" i="17"/>
  <c r="E42" i="17"/>
  <c r="D42" i="17"/>
  <c r="C42" i="17"/>
  <c r="B42" i="17"/>
  <c r="E41" i="17"/>
  <c r="D41" i="17"/>
  <c r="C41" i="17"/>
  <c r="B41" i="17"/>
  <c r="E40" i="17"/>
  <c r="D40" i="17"/>
  <c r="C40" i="17"/>
  <c r="B40" i="17"/>
  <c r="E39" i="17"/>
  <c r="D39" i="17"/>
  <c r="C39" i="17"/>
  <c r="B39" i="17"/>
  <c r="E38" i="17"/>
  <c r="D38" i="17"/>
  <c r="C38" i="17"/>
  <c r="B38" i="17"/>
  <c r="E37" i="17"/>
  <c r="D37" i="17"/>
  <c r="C37" i="17"/>
  <c r="B37" i="17"/>
  <c r="E36" i="17"/>
  <c r="D36" i="17"/>
  <c r="C36" i="17"/>
  <c r="B36" i="17"/>
  <c r="E35" i="17"/>
  <c r="D35" i="17"/>
  <c r="C35" i="17"/>
  <c r="B35" i="17"/>
  <c r="E34" i="17"/>
  <c r="D34" i="17"/>
  <c r="C34" i="17"/>
  <c r="B34" i="17"/>
  <c r="E33" i="17"/>
  <c r="D33" i="17"/>
  <c r="C33" i="17"/>
  <c r="B33" i="17"/>
  <c r="E32" i="17"/>
  <c r="D32" i="17"/>
  <c r="C32" i="17"/>
  <c r="B32" i="17"/>
  <c r="E31" i="17"/>
  <c r="D31" i="17"/>
  <c r="C31" i="17"/>
  <c r="B31" i="17"/>
  <c r="E30" i="17"/>
  <c r="D30" i="17"/>
  <c r="C30" i="17"/>
  <c r="B30" i="17"/>
  <c r="E29" i="17"/>
  <c r="D29" i="17"/>
  <c r="C29" i="17"/>
  <c r="B29" i="17"/>
  <c r="E28" i="17"/>
  <c r="D28" i="17"/>
  <c r="C28" i="17"/>
  <c r="B28" i="17"/>
  <c r="E27" i="17"/>
  <c r="D27" i="17"/>
  <c r="C27" i="17"/>
  <c r="B27" i="17"/>
  <c r="E26" i="17"/>
  <c r="D26" i="17"/>
  <c r="C26" i="17"/>
  <c r="B26" i="17"/>
  <c r="E25" i="17"/>
  <c r="D25" i="17"/>
  <c r="C25" i="17"/>
  <c r="B25" i="17"/>
  <c r="E24" i="17"/>
  <c r="D24" i="17"/>
  <c r="C24" i="17"/>
  <c r="B24" i="17"/>
  <c r="E23" i="17"/>
  <c r="D23" i="17"/>
  <c r="C23" i="17"/>
  <c r="B23" i="17"/>
  <c r="E22" i="17"/>
  <c r="D22" i="17"/>
  <c r="C22" i="17"/>
  <c r="B22" i="17"/>
  <c r="E21" i="17"/>
  <c r="D21" i="17"/>
  <c r="C21" i="17"/>
  <c r="B21" i="17"/>
  <c r="E20" i="17"/>
  <c r="D20" i="17"/>
  <c r="C20" i="17"/>
  <c r="B20" i="17"/>
  <c r="E19" i="17"/>
  <c r="D19" i="17"/>
  <c r="C19" i="17"/>
  <c r="B19" i="17"/>
  <c r="E18" i="17"/>
  <c r="D18" i="17"/>
  <c r="C18" i="17"/>
  <c r="B18" i="17"/>
  <c r="E17" i="17"/>
  <c r="D17" i="17"/>
  <c r="C17" i="17"/>
  <c r="B17" i="17"/>
  <c r="E16" i="17"/>
  <c r="D16" i="17"/>
  <c r="C16" i="17"/>
  <c r="B16" i="17"/>
  <c r="E15" i="17"/>
  <c r="D15" i="17"/>
  <c r="C15" i="17"/>
  <c r="B15" i="17"/>
  <c r="E14" i="17"/>
  <c r="D14" i="17"/>
  <c r="C14" i="17"/>
  <c r="B14" i="17"/>
  <c r="E13" i="17"/>
  <c r="D13" i="17"/>
  <c r="C13" i="17"/>
  <c r="B13" i="17"/>
  <c r="E12" i="17"/>
  <c r="D12" i="17"/>
  <c r="C12" i="17"/>
  <c r="B12" i="17"/>
  <c r="E11" i="17"/>
  <c r="D11" i="17"/>
  <c r="C11" i="17"/>
  <c r="B11" i="17"/>
  <c r="E10" i="17"/>
  <c r="D10" i="17"/>
  <c r="C10" i="17"/>
  <c r="B10" i="17"/>
  <c r="E9" i="17"/>
  <c r="D9" i="17"/>
  <c r="C9" i="17"/>
  <c r="B9" i="17"/>
  <c r="E8" i="17"/>
  <c r="D8" i="17"/>
  <c r="C8" i="17"/>
  <c r="B8" i="17"/>
  <c r="E7" i="17"/>
  <c r="D7" i="17"/>
  <c r="C7" i="17"/>
  <c r="B7" i="17"/>
  <c r="E6" i="17"/>
  <c r="D6" i="17"/>
  <c r="C6" i="17"/>
  <c r="B6" i="17"/>
  <c r="E5" i="17"/>
  <c r="D5" i="17"/>
  <c r="C5" i="17"/>
  <c r="B5" i="17"/>
  <c r="E4" i="17"/>
  <c r="D4" i="17"/>
  <c r="C4" i="17"/>
  <c r="B4" i="17"/>
  <c r="D13" i="14"/>
  <c r="D12" i="14"/>
  <c r="D11" i="14"/>
  <c r="D10" i="14"/>
  <c r="D9" i="14"/>
  <c r="D8" i="14"/>
  <c r="D7" i="14"/>
  <c r="D6" i="14"/>
  <c r="D5" i="14"/>
  <c r="D4" i="14"/>
  <c r="D3" i="14"/>
  <c r="D2" i="14"/>
  <c r="B2" i="14"/>
  <c r="G14" i="12"/>
  <c r="D9" i="12"/>
  <c r="B4" i="12"/>
  <c r="C9" i="11"/>
  <c r="D9" i="11" s="1"/>
  <c r="E9" i="11" s="1"/>
  <c r="C8" i="11"/>
  <c r="B8" i="11"/>
  <c r="D8" i="11" s="1"/>
  <c r="E8" i="11" s="1"/>
  <c r="D7" i="11"/>
  <c r="E7" i="11" s="1"/>
  <c r="C7" i="11"/>
  <c r="B7" i="11"/>
  <c r="E6" i="11"/>
  <c r="C11" i="12" s="1"/>
  <c r="C6" i="11"/>
  <c r="B6" i="11"/>
  <c r="D6" i="11" s="1"/>
  <c r="D5" i="11"/>
  <c r="E5" i="11" s="1"/>
  <c r="C5" i="11"/>
  <c r="B5" i="11"/>
  <c r="F14" i="6"/>
  <c r="E14" i="6"/>
  <c r="K13" i="6"/>
  <c r="I13" i="6"/>
  <c r="H13" i="6"/>
  <c r="C13" i="6"/>
  <c r="K12" i="6"/>
  <c r="C12" i="6"/>
  <c r="K11" i="6"/>
  <c r="C11" i="6"/>
  <c r="K10" i="6"/>
  <c r="H10" i="6"/>
  <c r="C10" i="6"/>
  <c r="K9" i="6"/>
  <c r="C9" i="6"/>
  <c r="K8" i="6"/>
  <c r="C8" i="6"/>
  <c r="K7" i="6"/>
  <c r="I7" i="6"/>
  <c r="I14" i="6" s="1"/>
  <c r="H7" i="6"/>
  <c r="C7" i="6"/>
  <c r="K6" i="6"/>
  <c r="C6" i="6"/>
  <c r="K5" i="6"/>
  <c r="C5" i="6"/>
  <c r="K4" i="6"/>
  <c r="H4" i="6"/>
  <c r="H14" i="6" s="1"/>
  <c r="C4" i="6"/>
  <c r="K3" i="6"/>
  <c r="C3" i="6"/>
  <c r="K2" i="6"/>
  <c r="C2" i="6"/>
  <c r="B2" i="6"/>
  <c r="G14" i="6" l="1"/>
  <c r="F11" i="12"/>
  <c r="F7" i="12"/>
  <c r="F3" i="12"/>
  <c r="F12" i="12"/>
  <c r="F8" i="12"/>
  <c r="F4" i="12"/>
  <c r="F13" i="12"/>
  <c r="F9" i="12"/>
  <c r="F5" i="12"/>
  <c r="F2" i="12"/>
  <c r="F6" i="12"/>
  <c r="F10" i="12"/>
  <c r="E10" i="12"/>
  <c r="E6" i="12"/>
  <c r="E2" i="12"/>
  <c r="E11" i="12"/>
  <c r="E7" i="12"/>
  <c r="E3" i="12"/>
  <c r="E12" i="12"/>
  <c r="E13" i="12"/>
  <c r="E9" i="12"/>
  <c r="E5" i="12"/>
  <c r="E8" i="12"/>
  <c r="E4" i="12"/>
  <c r="D10" i="12"/>
  <c r="D6" i="12"/>
  <c r="D2" i="12"/>
  <c r="D11" i="12"/>
  <c r="D7" i="12"/>
  <c r="D3" i="12"/>
  <c r="D12" i="12"/>
  <c r="D8" i="12"/>
  <c r="D4" i="12"/>
  <c r="B13" i="12"/>
  <c r="B9" i="12"/>
  <c r="H9" i="12" s="1"/>
  <c r="D9" i="6" s="1"/>
  <c r="B5" i="12"/>
  <c r="B10" i="12"/>
  <c r="B6" i="12"/>
  <c r="B2" i="12"/>
  <c r="B11" i="12"/>
  <c r="B7" i="12"/>
  <c r="B3" i="12"/>
  <c r="D5" i="12"/>
  <c r="E2" i="14"/>
  <c r="B3" i="14"/>
  <c r="B12" i="12"/>
  <c r="C13" i="12"/>
  <c r="C9" i="12"/>
  <c r="C5" i="12"/>
  <c r="C10" i="12"/>
  <c r="C6" i="12"/>
  <c r="C2" i="12"/>
  <c r="C12" i="12"/>
  <c r="C8" i="12"/>
  <c r="C4" i="12"/>
  <c r="H4" i="12" s="1"/>
  <c r="D4" i="6" s="1"/>
  <c r="C7" i="12"/>
  <c r="D13" i="12"/>
  <c r="B8" i="12"/>
  <c r="C14" i="6"/>
  <c r="C3" i="12"/>
  <c r="H8" i="12" l="1"/>
  <c r="D8" i="6" s="1"/>
  <c r="C14" i="12"/>
  <c r="H12" i="12"/>
  <c r="D12" i="6" s="1"/>
  <c r="H5" i="12"/>
  <c r="D5" i="6" s="1"/>
  <c r="H3" i="12"/>
  <c r="D3" i="6" s="1"/>
  <c r="H13" i="12"/>
  <c r="D13" i="6" s="1"/>
  <c r="E14" i="12"/>
  <c r="H7" i="12"/>
  <c r="D7" i="6" s="1"/>
  <c r="B4" i="14"/>
  <c r="C3" i="14"/>
  <c r="F3" i="14" s="1"/>
  <c r="G3" i="14" s="1"/>
  <c r="I3" i="14" s="1"/>
  <c r="H11" i="12"/>
  <c r="D11" i="6" s="1"/>
  <c r="D14" i="12"/>
  <c r="B14" i="12"/>
  <c r="H2" i="12"/>
  <c r="E3" i="14"/>
  <c r="H6" i="12"/>
  <c r="D6" i="6" s="1"/>
  <c r="F14" i="12"/>
  <c r="H10" i="12"/>
  <c r="D10" i="6" s="1"/>
  <c r="J3" i="14" l="1"/>
  <c r="B5" i="14"/>
  <c r="C4" i="14"/>
  <c r="F4" i="14" s="1"/>
  <c r="D14" i="18"/>
  <c r="E4" i="14"/>
  <c r="B14" i="18"/>
  <c r="H8" i="14"/>
  <c r="H7" i="14"/>
  <c r="H12" i="14"/>
  <c r="H4" i="14"/>
  <c r="F14" i="18" s="1"/>
  <c r="H6" i="14"/>
  <c r="H13" i="14"/>
  <c r="H5" i="14"/>
  <c r="H11" i="14"/>
  <c r="H3" i="14"/>
  <c r="H14" i="12"/>
  <c r="D2" i="6"/>
  <c r="H10" i="14"/>
  <c r="H2" i="14"/>
  <c r="H9" i="14"/>
  <c r="C2" i="14"/>
  <c r="F2" i="14" s="1"/>
  <c r="G2" i="14" s="1"/>
  <c r="F4" i="18" l="1"/>
  <c r="F7" i="18"/>
  <c r="F5" i="18"/>
  <c r="F8" i="18"/>
  <c r="F6" i="18"/>
  <c r="C14" i="18"/>
  <c r="C12" i="18"/>
  <c r="B12" i="18"/>
  <c r="E12" i="18"/>
  <c r="F12" i="18"/>
  <c r="D12" i="18"/>
  <c r="E14" i="18"/>
  <c r="I2" i="14"/>
  <c r="J2" i="14"/>
  <c r="D14" i="6"/>
  <c r="J2" i="6"/>
  <c r="G4" i="14"/>
  <c r="I4" i="14" s="1"/>
  <c r="F13" i="18"/>
  <c r="E13" i="18"/>
  <c r="D13" i="18"/>
  <c r="B13" i="18"/>
  <c r="C13" i="18"/>
  <c r="B15" i="18"/>
  <c r="B6" i="14"/>
  <c r="C5" i="14"/>
  <c r="F5" i="14" s="1"/>
  <c r="F15" i="18"/>
  <c r="E15" i="18"/>
  <c r="D15" i="18"/>
  <c r="C15" i="18"/>
  <c r="E5" i="14"/>
  <c r="J4" i="14" l="1"/>
  <c r="G5" i="14"/>
  <c r="I5" i="14" s="1"/>
  <c r="D16" i="18"/>
  <c r="C16" i="18"/>
  <c r="B16" i="18"/>
  <c r="B7" i="14"/>
  <c r="C6" i="14"/>
  <c r="F6" i="14" s="1"/>
  <c r="G6" i="14" s="1"/>
  <c r="I6" i="14" s="1"/>
  <c r="F16" i="18"/>
  <c r="E16" i="18"/>
  <c r="E6" i="14"/>
  <c r="B3" i="6"/>
  <c r="J3" i="6" s="1"/>
  <c r="M2" i="6"/>
  <c r="L2" i="6"/>
  <c r="B4" i="6" l="1"/>
  <c r="J4" i="6" s="1"/>
  <c r="M3" i="6"/>
  <c r="L3" i="6"/>
  <c r="J5" i="14"/>
  <c r="F17" i="18"/>
  <c r="E7" i="14"/>
  <c r="E17" i="18"/>
  <c r="D17" i="18"/>
  <c r="C17" i="18"/>
  <c r="B17" i="18"/>
  <c r="B8" i="14"/>
  <c r="C7" i="14"/>
  <c r="F7" i="14" s="1"/>
  <c r="G7" i="14" s="1"/>
  <c r="I7" i="14" s="1"/>
  <c r="J6" i="14"/>
  <c r="B5" i="6" l="1"/>
  <c r="J5" i="6" s="1"/>
  <c r="M4" i="6"/>
  <c r="L4" i="6"/>
  <c r="F18" i="18"/>
  <c r="E18" i="18"/>
  <c r="D18" i="18"/>
  <c r="C18" i="18"/>
  <c r="B9" i="14"/>
  <c r="C8" i="14"/>
  <c r="F8" i="14" s="1"/>
  <c r="B18" i="18"/>
  <c r="E8" i="14"/>
  <c r="J7" i="14"/>
  <c r="G8" i="14" l="1"/>
  <c r="I8" i="14" s="1"/>
  <c r="B6" i="6"/>
  <c r="J6" i="6" s="1"/>
  <c r="M5" i="6"/>
  <c r="L5" i="6"/>
  <c r="B19" i="18"/>
  <c r="C9" i="14"/>
  <c r="F9" i="14" s="1"/>
  <c r="B10" i="14"/>
  <c r="F19" i="18"/>
  <c r="E19" i="18"/>
  <c r="D19" i="18"/>
  <c r="C19" i="18"/>
  <c r="E9" i="14"/>
  <c r="B7" i="6" l="1"/>
  <c r="J7" i="6" s="1"/>
  <c r="L6" i="6"/>
  <c r="M6" i="6"/>
  <c r="J8" i="14"/>
  <c r="D20" i="18"/>
  <c r="E10" i="14"/>
  <c r="C20" i="18"/>
  <c r="B20" i="18"/>
  <c r="B11" i="14"/>
  <c r="C10" i="14"/>
  <c r="F10" i="14" s="1"/>
  <c r="F20" i="18"/>
  <c r="E20" i="18"/>
  <c r="G9" i="14"/>
  <c r="I9" i="14" s="1"/>
  <c r="G10" i="14" l="1"/>
  <c r="I10" i="14" s="1"/>
  <c r="F21" i="18"/>
  <c r="E21" i="18"/>
  <c r="D21" i="18"/>
  <c r="B12" i="14"/>
  <c r="C11" i="14"/>
  <c r="F11" i="14" s="1"/>
  <c r="G11" i="14" s="1"/>
  <c r="I11" i="14" s="1"/>
  <c r="C21" i="18"/>
  <c r="B21" i="18"/>
  <c r="E11" i="14"/>
  <c r="B8" i="6"/>
  <c r="J8" i="6" s="1"/>
  <c r="M7" i="6"/>
  <c r="L7" i="6"/>
  <c r="J10" i="14"/>
  <c r="J9" i="14"/>
  <c r="B13" i="14" l="1"/>
  <c r="C12" i="14"/>
  <c r="F12" i="14" s="1"/>
  <c r="F22" i="18"/>
  <c r="E22" i="18"/>
  <c r="D22" i="18"/>
  <c r="C22" i="18"/>
  <c r="E12" i="14"/>
  <c r="B22" i="18"/>
  <c r="B9" i="6"/>
  <c r="J9" i="6" s="1"/>
  <c r="L8" i="6"/>
  <c r="M8" i="6"/>
  <c r="J11" i="14"/>
  <c r="M9" i="6" l="1"/>
  <c r="L9" i="6"/>
  <c r="B10" i="6"/>
  <c r="J10" i="6" s="1"/>
  <c r="G12" i="14"/>
  <c r="I12" i="14" s="1"/>
  <c r="B23" i="18"/>
  <c r="C13" i="14"/>
  <c r="F13" i="14" s="1"/>
  <c r="G13" i="14" s="1"/>
  <c r="I13" i="14" s="1"/>
  <c r="F23" i="18"/>
  <c r="E23" i="18"/>
  <c r="D23" i="18"/>
  <c r="C23" i="18"/>
  <c r="E13" i="14"/>
  <c r="E4" i="18" l="1"/>
  <c r="C4" i="18"/>
  <c r="C9" i="19" s="1"/>
  <c r="D9" i="19" s="1"/>
  <c r="E9" i="19" s="1"/>
  <c r="M10" i="6"/>
  <c r="L10" i="6"/>
  <c r="B11" i="6"/>
  <c r="J11" i="6" s="1"/>
  <c r="E5" i="18"/>
  <c r="C5" i="18"/>
  <c r="C10" i="19" s="1"/>
  <c r="D10" i="19" s="1"/>
  <c r="E10" i="19" s="1"/>
  <c r="D5" i="18"/>
  <c r="G5" i="18" s="1"/>
  <c r="E6" i="18"/>
  <c r="C6" i="18"/>
  <c r="C11" i="19" s="1"/>
  <c r="D11" i="19" s="1"/>
  <c r="E11" i="19" s="1"/>
  <c r="D6" i="18"/>
  <c r="G6" i="18" s="1"/>
  <c r="J13" i="14"/>
  <c r="E7" i="18"/>
  <c r="C7" i="18"/>
  <c r="C12" i="19" s="1"/>
  <c r="D12" i="19" s="1"/>
  <c r="E12" i="19" s="1"/>
  <c r="D7" i="18"/>
  <c r="G7" i="18" s="1"/>
  <c r="J12" i="14"/>
  <c r="E8" i="18"/>
  <c r="D8" i="18"/>
  <c r="G8" i="18" s="1"/>
  <c r="C8" i="18"/>
  <c r="C13" i="19" s="1"/>
  <c r="D13" i="19" s="1"/>
  <c r="E13" i="19" s="1"/>
  <c r="D4" i="18"/>
  <c r="G4" i="18" s="1"/>
  <c r="G10" i="19" l="1"/>
  <c r="F10" i="19"/>
  <c r="F12" i="19"/>
  <c r="G12" i="19" s="1"/>
  <c r="B12" i="6"/>
  <c r="J12" i="6" s="1"/>
  <c r="M11" i="6"/>
  <c r="L11" i="6"/>
  <c r="G13" i="19"/>
  <c r="F13" i="19"/>
  <c r="G9" i="19"/>
  <c r="F9" i="19"/>
  <c r="G11" i="19"/>
  <c r="F11" i="19"/>
  <c r="L12" i="6" l="1"/>
  <c r="B13" i="6"/>
  <c r="J13" i="6" s="1"/>
  <c r="M12" i="6"/>
  <c r="M13" i="6" l="1"/>
  <c r="L13" i="6"/>
</calcChain>
</file>

<file path=xl/sharedStrings.xml><?xml version="1.0" encoding="utf-8"?>
<sst xmlns="http://schemas.openxmlformats.org/spreadsheetml/2006/main" count="621" uniqueCount="387">
  <si>
    <t>계약ID</t>
  </si>
  <si>
    <t>계약형태</t>
  </si>
  <si>
    <t>규모</t>
  </si>
  <si>
    <t>시작월</t>
  </si>
  <si>
    <t>종료월</t>
  </si>
  <si>
    <t>항로</t>
  </si>
  <si>
    <t>운임결정방식</t>
  </si>
  <si>
    <t>운임Benchmark</t>
  </si>
  <si>
    <t>고정운임</t>
  </si>
  <si>
    <t>운임노출방향</t>
  </si>
  <si>
    <t>연간노출일수(days)</t>
  </si>
  <si>
    <t>연료부담주체</t>
  </si>
  <si>
    <t>비고</t>
  </si>
  <si>
    <t>A</t>
  </si>
  <si>
    <t>Index-linked TC-out</t>
  </si>
  <si>
    <t>4척</t>
  </si>
  <si>
    <t>1월</t>
  </si>
  <si>
    <t>12월</t>
  </si>
  <si>
    <t>Panamax 글로벌 TC</t>
  </si>
  <si>
    <t>P5TC 100% 연동</t>
  </si>
  <si>
    <t>P5TC</t>
  </si>
  <si>
    <t>운임 하락</t>
  </si>
  <si>
    <t>용선자</t>
  </si>
  <si>
    <t>4척×360일, 지수 하락 시 수입 감소</t>
  </si>
  <si>
    <t>B</t>
  </si>
  <si>
    <t>Fixed TC-out</t>
  </si>
  <si>
    <t>5척</t>
  </si>
  <si>
    <t>고정 일일용선료</t>
  </si>
  <si>
    <t>16000 USD/day</t>
  </si>
  <si>
    <t>거의 없음</t>
  </si>
  <si>
    <t>5척×360일, 운임 및 연료가격 노출 제한</t>
  </si>
  <si>
    <t>C1</t>
  </si>
  <si>
    <t>Spot/Voyage</t>
  </si>
  <si>
    <t>1척</t>
  </si>
  <si>
    <t>PNW→일본 곡물</t>
  </si>
  <si>
    <t>시장 Voyage 운임</t>
  </si>
  <si>
    <t>P3A-equivalent</t>
  </si>
  <si>
    <t>BlueWave</t>
  </si>
  <si>
    <t>연 8항차, P3A는 Cross-hedge 후보 Benchmark</t>
  </si>
  <si>
    <t>C2</t>
  </si>
  <si>
    <t>US Gulf→일본 곡물</t>
  </si>
  <si>
    <t>P7-equivalent</t>
  </si>
  <si>
    <t>연 4항차, P7은 US Gulf→동아시아 곡물 Benchmark</t>
  </si>
  <si>
    <t>D</t>
  </si>
  <si>
    <t>COA</t>
  </si>
  <si>
    <t>연 4항차</t>
  </si>
  <si>
    <t>2월</t>
  </si>
  <si>
    <t>11월</t>
  </si>
  <si>
    <t>US Gulf→동북아 곡물</t>
  </si>
  <si>
    <t>화주 운임 고정</t>
  </si>
  <si>
    <t>Cross-hedge 추후 결정</t>
  </si>
  <si>
    <t>55 USD/t</t>
  </si>
  <si>
    <t>운임 상승</t>
  </si>
  <si>
    <t>2·5·8·11월 운송, 선박은 운송 시점에 TC-in</t>
  </si>
  <si>
    <t>급유지역</t>
  </si>
  <si>
    <t>유종</t>
  </si>
  <si>
    <t>구매시점</t>
  </si>
  <si>
    <t>항차당예상수량(t)</t>
  </si>
  <si>
    <t>연간항차수</t>
  </si>
  <si>
    <t>연간예상수량(t)</t>
  </si>
  <si>
    <t>가격위험Proxy</t>
  </si>
  <si>
    <t>Vancouver/PNW</t>
  </si>
  <si>
    <t>VLSFO 0.5%</t>
  </si>
  <si>
    <t>항차별</t>
  </si>
  <si>
    <t>Brent Crude</t>
  </si>
  <si>
    <t>프로토타입에서는 Brent 가격변동으로 연료가격위험 대리</t>
  </si>
  <si>
    <t>US Gulf</t>
  </si>
  <si>
    <t>합계</t>
  </si>
  <si>
    <t>항차ID</t>
  </si>
  <si>
    <t>출항월</t>
  </si>
  <si>
    <t>후속월</t>
  </si>
  <si>
    <t>선박조달노출_출항월(days)</t>
  </si>
  <si>
    <t>선박조달노출_후속월(days)</t>
  </si>
  <si>
    <t>USGC VLSFO_출항월(t)</t>
  </si>
  <si>
    <t>화물량(t)</t>
  </si>
  <si>
    <t>고정운임(USD/t)</t>
  </si>
  <si>
    <t>D1</t>
  </si>
  <si>
    <t>3월</t>
  </si>
  <si>
    <t>US Gulf→동북아</t>
  </si>
  <si>
    <t>D2</t>
  </si>
  <si>
    <t>5월</t>
  </si>
  <si>
    <t>6월</t>
  </si>
  <si>
    <t>D3</t>
  </si>
  <si>
    <t>8월</t>
  </si>
  <si>
    <t>9월</t>
  </si>
  <si>
    <t>D4</t>
  </si>
  <si>
    <t>월</t>
  </si>
  <si>
    <t>A_P5TC노출(days)</t>
  </si>
  <si>
    <t>C1_PNW일본_운임노출(t)</t>
  </si>
  <si>
    <t>C2_P7_운임노출(t)</t>
  </si>
  <si>
    <t>D_선박조달노출(days)</t>
  </si>
  <si>
    <t>연료구매노출(t)</t>
  </si>
  <si>
    <t>4월</t>
  </si>
  <si>
    <t>7월</t>
  </si>
  <si>
    <t>10월</t>
  </si>
  <si>
    <t>연간합계</t>
  </si>
  <si>
    <t>항목</t>
  </si>
  <si>
    <t>금액(USD)</t>
  </si>
  <si>
    <t>구분</t>
  </si>
  <si>
    <t>모형사용</t>
  </si>
  <si>
    <t>용도/비고</t>
  </si>
  <si>
    <t>현금및현금성자산</t>
  </si>
  <si>
    <t>EuroDry 2025 실제</t>
  </si>
  <si>
    <t>사용</t>
  </si>
  <si>
    <t>기초 가용현금</t>
  </si>
  <si>
    <t>유동 제한현금</t>
  </si>
  <si>
    <t>참고</t>
  </si>
  <si>
    <t>자유로운 헤지재원에서 제외</t>
  </si>
  <si>
    <t>비유동 제한현금</t>
  </si>
  <si>
    <t>유동부채</t>
  </si>
  <si>
    <t>유동성 상태 확인용, 전액 직접 차감하지 않음</t>
  </si>
  <si>
    <t>2026년 대출원금상환</t>
  </si>
  <si>
    <t>EuroDry 실제 계약</t>
  </si>
  <si>
    <t>향후 1년 필수 현금유출</t>
  </si>
  <si>
    <t>2026년 신조선 지급약정</t>
  </si>
  <si>
    <t>외부조달이 없는 부분은 자체현금 유출</t>
  </si>
  <si>
    <t>2025년 영업현금흐름</t>
  </si>
  <si>
    <t>초기사용</t>
  </si>
  <si>
    <t>초기 Proxy, 이후 BlueWave 산출 CF로 교체</t>
  </si>
  <si>
    <t>최소유동성 Floor</t>
  </si>
  <si>
    <t>모형 가정</t>
  </si>
  <si>
    <t>약 3개월 반복 현금비용을 감당하기 위한 최소 유동성</t>
  </si>
  <si>
    <t>확정 외부조달액</t>
  </si>
  <si>
    <t>월초현금</t>
  </si>
  <si>
    <t>기준영업CF</t>
  </si>
  <si>
    <t>시장충격조정_무헤지</t>
  </si>
  <si>
    <t>헤지정산CF</t>
  </si>
  <si>
    <t>증거금·담보증가액</t>
  </si>
  <si>
    <t>확정외부조달</t>
  </si>
  <si>
    <t>대출원금상환</t>
  </si>
  <si>
    <t>CAPEX지급</t>
  </si>
  <si>
    <t>월말현금</t>
  </si>
  <si>
    <t>최소유동성Floor</t>
  </si>
  <si>
    <t>Floor여유액</t>
  </si>
  <si>
    <t>Floor충족여부</t>
  </si>
  <si>
    <t>항차당화물량(t)</t>
  </si>
  <si>
    <t>기준운임</t>
  </si>
  <si>
    <t>항차기간(days)</t>
  </si>
  <si>
    <t>연료비부담</t>
  </si>
  <si>
    <t>Panamax 글로벌</t>
  </si>
  <si>
    <t>4척 각각 360일, 월별 P5TC로 매출 계산</t>
  </si>
  <si>
    <t>5척 각각 360일 고정 TC</t>
  </si>
  <si>
    <t>28 USD/t</t>
  </si>
  <si>
    <t>Voyage 수익은 USD/t, P3A는 Cross-hedge 후보</t>
  </si>
  <si>
    <t>51 USD/t</t>
  </si>
  <si>
    <t>P7은 US Gulf→동아시아 곡물 Benchmark</t>
  </si>
  <si>
    <t>화주 운임은 고정, 선박은 운송 시점에 TC-in</t>
  </si>
  <si>
    <t>기준운임(USD/t)</t>
  </si>
  <si>
    <t>항차매출(USD)</t>
  </si>
  <si>
    <t>연료사용량(t)</t>
  </si>
  <si>
    <t>연료단가(USD/t)</t>
  </si>
  <si>
    <t>항만·대리점비(USD)</t>
  </si>
  <si>
    <t>운하비(USD)</t>
  </si>
  <si>
    <t>Commission율</t>
  </si>
  <si>
    <t>TC-in일수</t>
  </si>
  <si>
    <t>TC-in일당(USD/day)</t>
  </si>
  <si>
    <t>PNW→일본, 항만·대리점비는 합성 가정</t>
  </si>
  <si>
    <t>US Gulf→동북아, Cape of Good Hope 경유</t>
  </si>
  <si>
    <t>US Gulf→동북아, Cape 경유, TC-in 수행</t>
  </si>
  <si>
    <t>기준단가</t>
  </si>
  <si>
    <t>대상</t>
  </si>
  <si>
    <t>계산기준</t>
  </si>
  <si>
    <t>연간금액(USD)</t>
  </si>
  <si>
    <t>자사선 Vessel Operating Expense</t>
  </si>
  <si>
    <t>5692 USD/day</t>
  </si>
  <si>
    <t>11척</t>
  </si>
  <si>
    <t>11척×365일</t>
  </si>
  <si>
    <t>EuroDry 2025 실제 일평균</t>
  </si>
  <si>
    <t>선박 Management Fee</t>
  </si>
  <si>
    <t>1007 USD/day</t>
  </si>
  <si>
    <t>본사 G&amp;A</t>
  </si>
  <si>
    <t>3171053 USD/year</t>
  </si>
  <si>
    <t>회사 전체</t>
  </si>
  <si>
    <t>연간</t>
  </si>
  <si>
    <t>Drydocking</t>
  </si>
  <si>
    <t>별도 시나리오</t>
  </si>
  <si>
    <t>기준 시나리오 제외</t>
  </si>
  <si>
    <t>필요 시 특정 월 스트레스 항목으로 추가</t>
  </si>
  <si>
    <t>위험요인ID</t>
  </si>
  <si>
    <t>위험요인</t>
  </si>
  <si>
    <t>단위</t>
  </si>
  <si>
    <t>기준값</t>
  </si>
  <si>
    <t>기준기간</t>
  </si>
  <si>
    <t>데이터구분</t>
  </si>
  <si>
    <t>적용계약</t>
  </si>
  <si>
    <t>FRT_A</t>
  </si>
  <si>
    <t>Panamax P5TC</t>
  </si>
  <si>
    <t>USD/day</t>
  </si>
  <si>
    <t>2025 연평균</t>
  </si>
  <si>
    <t>실제 시장자료</t>
  </si>
  <si>
    <t>Index-linked TC-out 운임위험 기준</t>
  </si>
  <si>
    <t>FRT_C1</t>
  </si>
  <si>
    <t>PNW→Japan 곡물운임</t>
  </si>
  <si>
    <t>USD/t</t>
  </si>
  <si>
    <t>실제 Voyage 운임위험 기준</t>
  </si>
  <si>
    <t>FRT_C2</t>
  </si>
  <si>
    <t>US Gulf→Japan 곡물운임</t>
  </si>
  <si>
    <t>P7-equivalent 물리운임 기준</t>
  </si>
  <si>
    <t>TCIN_D</t>
  </si>
  <si>
    <t>Panamax TC-in 조달비 Proxy</t>
  </si>
  <si>
    <t>COMMISSION</t>
  </si>
  <si>
    <t>운임수입 Commission</t>
  </si>
  <si>
    <t>비율</t>
  </si>
  <si>
    <t>모형 전체</t>
  </si>
  <si>
    <t>모형가정</t>
  </si>
  <si>
    <t>A,C1,C2</t>
  </si>
  <si>
    <t>운임변동에 따른 순현금효과 계산 시 적용</t>
  </si>
  <si>
    <t>기준시나리오_월말현금</t>
  </si>
  <si>
    <t>무헤지스트레스_월말현금</t>
  </si>
  <si>
    <t>구조적유동성부족</t>
  </si>
  <si>
    <t>전체현금부족</t>
  </si>
  <si>
    <t>시장위험기인Need</t>
  </si>
  <si>
    <t>누적시장충격</t>
  </si>
  <si>
    <t>필요시장보호율</t>
  </si>
  <si>
    <t>진단</t>
  </si>
  <si>
    <t>USDA 실제자료</t>
  </si>
  <si>
    <t>KOBC 실제자료</t>
  </si>
  <si>
    <t>KOBC Panamax TC Average 2025 일별평균. D의 미래 TC-in 조달비 기준</t>
  </si>
  <si>
    <t>FUEL_BASE</t>
  </si>
  <si>
    <t>VLSFO 기준연료비 (Brent 변동률 Proxy)</t>
  </si>
  <si>
    <t>임시 Proxy</t>
  </si>
  <si>
    <t>C1,C2,D</t>
  </si>
  <si>
    <t>VLSFO 기준비용 $535/t에 Brent 변동률을 적용하는 MVP Proxy. 실제 VLSFO/파생상품 데이터는 후속 고도화</t>
  </si>
  <si>
    <t>시나리오명</t>
  </si>
  <si>
    <t>역사적_복합스트레스</t>
  </si>
  <si>
    <t>설명</t>
  </si>
  <si>
    <t>2022-03~2025-12 실제 시장변동의 10/90 분위수를 이용한 MVP 복합 Stress</t>
  </si>
  <si>
    <t>충격률</t>
  </si>
  <si>
    <t>충격후값</t>
  </si>
  <si>
    <t>변화량</t>
  </si>
  <si>
    <t>FUEL_BRENT</t>
  </si>
  <si>
    <t>A_P5TC충격</t>
  </si>
  <si>
    <t>C1_운임충격</t>
  </si>
  <si>
    <t>C2_운임충격</t>
  </si>
  <si>
    <t>D_TC-in충격</t>
  </si>
  <si>
    <t>연료충격_BrentProxy</t>
  </si>
  <si>
    <t>기타시장충격</t>
  </si>
  <si>
    <t>총시장충격</t>
  </si>
  <si>
    <t>노출ID</t>
  </si>
  <si>
    <t>물리노출</t>
  </si>
  <si>
    <t>MVP 사용시장변수</t>
  </si>
  <si>
    <t>MVP 분석목적</t>
  </si>
  <si>
    <t>향후 헤지상품 후보1</t>
  </si>
  <si>
    <t>후보2</t>
  </si>
  <si>
    <t>후보3</t>
  </si>
  <si>
    <t>헤지방향</t>
  </si>
  <si>
    <t>MVP 산출값</t>
  </si>
  <si>
    <t>현재 한계</t>
  </si>
  <si>
    <t>선정 후 고도화</t>
  </si>
  <si>
    <t>P5TC 연동 TC-out 운임</t>
  </si>
  <si>
    <t>KOBC Panamax TC 변동률을 Panamax 시장충격 Proxy로 사용</t>
  </si>
  <si>
    <t>P5TC 연동 수입의 시장충격·필요 보호수준 산정</t>
  </si>
  <si>
    <t>P5TC Future</t>
  </si>
  <si>
    <t>매도</t>
  </si>
  <si>
    <t>필요 보호수준</t>
  </si>
  <si>
    <t>실제 P5TC FFA 역사 가격 미연결</t>
  </si>
  <si>
    <t>실제 FFA 가격·Basis·증거금 반영 후 계약수량 산정</t>
  </si>
  <si>
    <t>MVP는 시장위험 진단에 집중</t>
  </si>
  <si>
    <t>PNW→Japan Voyage 운임</t>
  </si>
  <si>
    <t>USDA PNW→Japan 실제 운임</t>
  </si>
  <si>
    <t>실제 물리운임 하락 시 현금흐름 충격 산정</t>
  </si>
  <si>
    <t>P3E_82 Future</t>
  </si>
  <si>
    <t>실제 FFA 가격 미연결</t>
  </si>
  <si>
    <t>후보별 OLS Hedge Ratio·Hedge Effectiveness 비교</t>
  </si>
  <si>
    <t>공개 실제 물리운임 사용</t>
  </si>
  <si>
    <t>US Gulf→Japan Voyage 운임</t>
  </si>
  <si>
    <t>USDA US Gulf→Japan 실제 운임</t>
  </si>
  <si>
    <t>P2E_82 Future</t>
  </si>
  <si>
    <t>P6_82 Future</t>
  </si>
  <si>
    <t>후보별 OLS·Basis Risk 비교</t>
  </si>
  <si>
    <t>Panamax 미래 TC-in 조달비</t>
  </si>
  <si>
    <t>KOBC Panamax TC Average</t>
  </si>
  <si>
    <t>시장 용선료 상승에 따른 조달비 충격 산정</t>
  </si>
  <si>
    <t>매수</t>
  </si>
  <si>
    <t>실제 FFA와 KOBC TC 간 최적 Hedge Ratio 산정</t>
  </si>
  <si>
    <t>공개 Panamax 시장지수 사용</t>
  </si>
  <si>
    <t>FUEL_C1</t>
  </si>
  <si>
    <t>PNW VLSFO 구매</t>
  </si>
  <si>
    <t>Brent Spot 변동률</t>
  </si>
  <si>
    <t>연료비 상승 Stress Proxy</t>
  </si>
  <si>
    <t>Brent Crude Futures</t>
  </si>
  <si>
    <t>VLSFO-Brent Basis Risk</t>
  </si>
  <si>
    <t>VLSFO 현물·연료파생상품 데이터로 Cross-hedge 재산정</t>
  </si>
  <si>
    <t>MVP는 공개데이터 재현성 우선</t>
  </si>
  <si>
    <t>FUEL_C2</t>
  </si>
  <si>
    <t>USGC VLSFO 구매</t>
  </si>
  <si>
    <t>USGC Marine Fuel 등 실제상품으로 고도화</t>
  </si>
  <si>
    <t>FUEL_D</t>
  </si>
  <si>
    <t>COA 수행용 연료위험</t>
  </si>
  <si>
    <t>PNW→Japan 운임 (USD/t)</t>
  </si>
  <si>
    <t>US Gulf→Japan 운임 (USD/t)</t>
  </si>
  <si>
    <t>KOBC Panamax TC Average (USD/day)</t>
  </si>
  <si>
    <t>Brent Spot (USD/bbl)</t>
  </si>
  <si>
    <t>출처/처리</t>
  </si>
  <si>
    <t>분석기간</t>
  </si>
  <si>
    <t>2022-03 ~ 2025-12 (46개월)</t>
  </si>
  <si>
    <t>PNW→Japan</t>
  </si>
  <si>
    <t>USDA AMS Grain Transportation Report / Open AgTransport</t>
  </si>
  <si>
    <t>US Gulf→Japan</t>
  </si>
  <si>
    <t>Panamax TC</t>
  </si>
  <si>
    <t>사용자 업로드 KOBC 일별 PANAMAX 자료의 TC Average를 월평균</t>
  </si>
  <si>
    <t>Brent</t>
  </si>
  <si>
    <t>U.S. EIA Europe Brent Spot Price 월별 시계열</t>
  </si>
  <si>
    <t>USDA URL</t>
  </si>
  <si>
    <t>https://agtransport.usda.gov/Bulk/Bulk-Grain-Ocean-Freight-Rates/ehic-wtxb</t>
  </si>
  <si>
    <t>KOBC URL</t>
  </si>
  <si>
    <t>https://www.kobc.or.kr/ebz/shippinginfo/panamax/gridList.do?mId=0301000000</t>
  </si>
  <si>
    <t>EIA URL</t>
  </si>
  <si>
    <t>https://www.eia.gov/dnav/pet/hist/leafhandler.ashx?f=m&amp;n=pet&amp;s=rbrte</t>
  </si>
  <si>
    <t>MVP 원칙</t>
  </si>
  <si>
    <t>실제 공개 현물/운임지수로 시장위험과 필요 보호수준을 산정</t>
  </si>
  <si>
    <t>향후</t>
  </si>
  <si>
    <t>EEX/Baltic FFA 및 VLSFO 실제 시장데이터 연결</t>
  </si>
  <si>
    <t>실제 과거시장 변동 분석 — MVP Stress 산정</t>
  </si>
  <si>
    <t>PNW→Japan 월변화율</t>
  </si>
  <si>
    <t>US Gulf→Japan 월변화율</t>
  </si>
  <si>
    <t>KOBC TC 월변화율</t>
  </si>
  <si>
    <t>Brent 월변화율</t>
  </si>
  <si>
    <t>Stress 방향</t>
  </si>
  <si>
    <t>역사기준</t>
  </si>
  <si>
    <t>MVP 적용충격률</t>
  </si>
  <si>
    <t>A Panamax 운임</t>
  </si>
  <si>
    <t>하락</t>
  </si>
  <si>
    <t>KOBC 월변화율 하위 10%</t>
  </si>
  <si>
    <t>C1 PNW→Japan</t>
  </si>
  <si>
    <t>PNW 월변화율 하위 10%</t>
  </si>
  <si>
    <t>C2 USG→Japan</t>
  </si>
  <si>
    <t>USG 월변화율 하위 10%</t>
  </si>
  <si>
    <t>D TC-in 조달비</t>
  </si>
  <si>
    <t>상승</t>
  </si>
  <si>
    <t>KOBC 월변화율 상위 10%</t>
  </si>
  <si>
    <t>연료비</t>
  </si>
  <si>
    <t>Brent 월변화율 상위 10%</t>
  </si>
  <si>
    <t>Stress 정의: 2022-03~2025-12 실제 월별 변화율의 하위 10%(운임 하락) / 상위 10%(비용 상승)를 사용합니다. 최악의 한 달을 그대로 쓰지 않아 극단치 의존을 줄인 '역사적 스트레스'입니다.</t>
  </si>
  <si>
    <t>보호수준별 전략 비교 — 실제 FFA 가격 연결 전 MVP</t>
  </si>
  <si>
    <t>전략</t>
  </si>
  <si>
    <t>시장위험 보호수준</t>
  </si>
  <si>
    <t>최저 월말현금 (USD)</t>
  </si>
  <si>
    <t>Floor 미달개월</t>
  </si>
  <si>
    <t>연말현금 (USD)</t>
  </si>
  <si>
    <t>보호한 시장손실 (USD)</t>
  </si>
  <si>
    <t>해석</t>
  </si>
  <si>
    <t>무보호</t>
  </si>
  <si>
    <t>부분보호 30%</t>
  </si>
  <si>
    <t>균형보호 50%</t>
  </si>
  <si>
    <t>안정성보호 70%</t>
  </si>
  <si>
    <t>시장위험 100% 보호</t>
  </si>
  <si>
    <t>보호수준은 '실제 FFA 계약비율'이 아니라 시장충격 중 경제적으로 상쇄하는 비율입니다. 향후 EEX/Baltic FFA 가격을 연결하면 이 보호수준을 실제 Hedge Ratio와 계약수량으로 변환합니다.</t>
  </si>
  <si>
    <t>Capacity 진단 — 실제 증거금 데이터 연결 전 유동성 여력</t>
  </si>
  <si>
    <t>입력/지표</t>
  </si>
  <si>
    <t>금액 (USD)</t>
  </si>
  <si>
    <t>추가 확보 유동성</t>
  </si>
  <si>
    <t>보호수준</t>
  </si>
  <si>
    <t>보호 후 최저현금</t>
  </si>
  <si>
    <t>추가유동성 반영 최저현금</t>
  </si>
  <si>
    <t>Floor 대비 여유</t>
  </si>
  <si>
    <t>흡수가능 임시담보/증거금</t>
  </si>
  <si>
    <t>Capacity 판단</t>
  </si>
  <si>
    <t>Capacity는 '헤지가 필요하다'와 별개의 문제입니다. 현재는 실제 거래소 Initial/Variation Margin 데이터가 없으므로, 각 보호전략을 적용한 뒤 Floor 위에 남는 현금을 '흡수 가능한 임시담보/증거금 한도'로 제시합니다. 선정 후 실제 FFA Margin 데이터를 연결해 이 한도와 직접 비교합니다.</t>
  </si>
  <si>
    <t>BlueWave AI 해운 헤지 의사결정 MVP — 현재 구현범위</t>
  </si>
  <si>
    <t>핵심항목</t>
  </si>
  <si>
    <t>현재 MVP</t>
  </si>
  <si>
    <t>Exposure</t>
  </si>
  <si>
    <t>계약별 운임·연료 노출을 월별로 산정</t>
  </si>
  <si>
    <t>① EEX/Baltic 실제 FFA 가격 연결
② P5TC·P2E_82·P3E_82·P6_82 후보별 OLS Hedge Ratio 및 Hedge Effectiveness
③ 실제 VLSFO 및 Marine Fuel 파생상품 데이터 연결
④ Initial/Variation Margin 및 담보 시차 반영
⑤ Python/Web 서비스화 및 AI 자연어 인터페이스</t>
  </si>
  <si>
    <t>Need</t>
  </si>
  <si>
    <t>실제 과거 운임/Brent 기반 역사적 Stress에서 Floor 미달 여부 진단</t>
  </si>
  <si>
    <t>Strategy</t>
  </si>
  <si>
    <t>시장충격의 0/30/50/70/100% 보호수준별 현금흐름 비교</t>
  </si>
  <si>
    <t>Capacity</t>
  </si>
  <si>
    <t>보호 후 Floor 위 잔여현금을 임시담보/증거금 흡수여력으로 계산</t>
  </si>
  <si>
    <t>AI 역할</t>
  </si>
  <si>
    <t>계약·경영목표 자연어 해석, 결과 설명, 리스크 경고</t>
  </si>
  <si>
    <t>정량계산</t>
  </si>
  <si>
    <t>검증 가능한 재무·통계 로직이 수행</t>
  </si>
  <si>
    <t>모형 해석 원칙</t>
  </si>
  <si>
    <t>현재의 '보호수준'은 실제 FFA 계약비율이 아닙니다. 공개 가능한 실제 운임지수와 Brent를 이용해 회사가 시장충격 중 어느 정도를 경제적으로 상쇄해야 최소유동성을 유지하는지 계산합니다. 실제 FFA 데이터가 확보되면 보호수준을 실행 가능한 파생상품·Hedge Ratio·계약수량으로 변환합니다.</t>
  </si>
  <si>
    <t>10/8 제출 전 남은 작업</t>
  </si>
  <si>
    <t>순서</t>
  </si>
  <si>
    <t>작업</t>
  </si>
  <si>
    <t>통합모형 검산 및 결과값 해석</t>
  </si>
  <si>
    <t>대표 전략 2~3개 선정 및 사용자 화면 흐름 정리</t>
  </si>
  <si>
    <t>AI가 맡는 부분과 금융모형이 맡는 부분 명확화</t>
  </si>
  <si>
    <t>지원서 1000자 문항들 작성</t>
  </si>
  <si>
    <t>멘토링 요청사항: FFA 데이터/API, Margin, 웹 구현, 모델 검증</t>
  </si>
  <si>
    <t>BlueWave 모형 가정</t>
  </si>
  <si>
    <t>신조선 CAPEX 중 일부를 외부 금융조달하는 중간 재무상태 시나리오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</si>
</sst>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"/>
    <numFmt numFmtId="177" formatCode="#,##0.00;[Red]\(#,##0.00\);\-"/>
    <numFmt numFmtId="178" formatCode="0.0%;[Red]\(0.0%\);\-"/>
    <numFmt numFmtId="179" formatCode="#,##0;[Red]\(#,##0\);\-"/>
  </numFmts>
  <fonts count="9" x14ac:knownFonts="1">
    <font>
      <sz val="11"/>
      <color theme="1"/>
      <name val="맑은 고딕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7F6000"/>
      <name val="맑은 고딕"/>
      <family val="3"/>
      <charset val="129"/>
    </font>
    <font>
      <b/>
      <sz val="15"/>
      <color rgb="FFFFFFFF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4" fillId="0" borderId="0" xfId="0" applyNumberFormat="1" applyFont="1">
      <alignment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178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2" fillId="4" borderId="0" xfId="0" applyNumberFormat="1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 wrapText="1"/>
    </xf>
    <xf numFmtId="0" fontId="7" fillId="2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/>
  </sheetViews>
  <sheetFormatPr defaultRowHeight="16.5" x14ac:dyDescent="0.3"/>
  <cols>
    <col min="2" max="2" width="11.875" customWidth="1"/>
    <col min="3" max="5" width="6.5" customWidth="1"/>
    <col min="6" max="6" width="23.5" customWidth="1"/>
    <col min="7" max="7" width="27.75" customWidth="1"/>
    <col min="8" max="13" width="11.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>
        <v>1440</v>
      </c>
      <c r="L2" t="s">
        <v>22</v>
      </c>
      <c r="M2" t="s">
        <v>23</v>
      </c>
    </row>
    <row r="3" spans="1:13" x14ac:dyDescent="0.3">
      <c r="A3" t="s">
        <v>24</v>
      </c>
      <c r="B3" t="s">
        <v>25</v>
      </c>
      <c r="C3" t="s">
        <v>26</v>
      </c>
      <c r="D3" t="s">
        <v>16</v>
      </c>
      <c r="E3" t="s">
        <v>17</v>
      </c>
      <c r="F3" t="s">
        <v>18</v>
      </c>
      <c r="G3" t="s">
        <v>27</v>
      </c>
      <c r="I3" t="s">
        <v>28</v>
      </c>
      <c r="J3" t="s">
        <v>29</v>
      </c>
      <c r="K3">
        <v>1800</v>
      </c>
      <c r="L3" t="s">
        <v>22</v>
      </c>
      <c r="M3" t="s">
        <v>30</v>
      </c>
    </row>
    <row r="4" spans="1:13" x14ac:dyDescent="0.3">
      <c r="A4" t="s">
        <v>31</v>
      </c>
      <c r="B4" t="s">
        <v>32</v>
      </c>
      <c r="C4" t="s">
        <v>33</v>
      </c>
      <c r="D4" t="s">
        <v>16</v>
      </c>
      <c r="E4" t="s">
        <v>17</v>
      </c>
      <c r="F4" t="s">
        <v>34</v>
      </c>
      <c r="G4" t="s">
        <v>35</v>
      </c>
      <c r="H4" t="s">
        <v>36</v>
      </c>
      <c r="J4" t="s">
        <v>21</v>
      </c>
      <c r="K4">
        <v>360</v>
      </c>
      <c r="L4" t="s">
        <v>37</v>
      </c>
      <c r="M4" t="s">
        <v>38</v>
      </c>
    </row>
    <row r="5" spans="1:13" x14ac:dyDescent="0.3">
      <c r="A5" t="s">
        <v>39</v>
      </c>
      <c r="B5" t="s">
        <v>32</v>
      </c>
      <c r="C5" t="s">
        <v>33</v>
      </c>
      <c r="D5" t="s">
        <v>16</v>
      </c>
      <c r="E5" t="s">
        <v>17</v>
      </c>
      <c r="F5" t="s">
        <v>40</v>
      </c>
      <c r="G5" t="s">
        <v>35</v>
      </c>
      <c r="H5" t="s">
        <v>41</v>
      </c>
      <c r="J5" t="s">
        <v>21</v>
      </c>
      <c r="K5">
        <v>320</v>
      </c>
      <c r="L5" t="s">
        <v>37</v>
      </c>
      <c r="M5" t="s">
        <v>42</v>
      </c>
    </row>
    <row r="6" spans="1:13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>
        <v>180</v>
      </c>
      <c r="L6" t="s">
        <v>37</v>
      </c>
      <c r="M6" t="s">
        <v>53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6.5" x14ac:dyDescent="0.3"/>
  <cols>
    <col min="2" max="2" width="11" customWidth="1"/>
    <col min="3" max="3" width="11.75" customWidth="1"/>
    <col min="5" max="5" width="10.75" customWidth="1"/>
    <col min="6" max="6" width="11.125" customWidth="1"/>
    <col min="7" max="7" width="13.625" customWidth="1"/>
  </cols>
  <sheetData>
    <row r="1" spans="1:9" x14ac:dyDescent="0.3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12</v>
      </c>
    </row>
    <row r="2" spans="1:9" x14ac:dyDescent="0.3">
      <c r="A2" t="s">
        <v>31</v>
      </c>
      <c r="B2" t="s">
        <v>61</v>
      </c>
      <c r="C2" t="s">
        <v>62</v>
      </c>
      <c r="D2" t="s">
        <v>63</v>
      </c>
      <c r="E2">
        <v>1000</v>
      </c>
      <c r="F2">
        <v>8</v>
      </c>
      <c r="G2">
        <v>8000</v>
      </c>
      <c r="H2" t="s">
        <v>64</v>
      </c>
      <c r="I2" t="s">
        <v>65</v>
      </c>
    </row>
    <row r="3" spans="1:9" x14ac:dyDescent="0.3">
      <c r="A3" t="s">
        <v>39</v>
      </c>
      <c r="B3" t="s">
        <v>66</v>
      </c>
      <c r="C3" t="s">
        <v>62</v>
      </c>
      <c r="D3" t="s">
        <v>63</v>
      </c>
      <c r="E3">
        <v>1800</v>
      </c>
      <c r="F3">
        <v>4</v>
      </c>
      <c r="G3">
        <v>7200</v>
      </c>
      <c r="H3" t="s">
        <v>64</v>
      </c>
      <c r="I3" t="s">
        <v>65</v>
      </c>
    </row>
    <row r="4" spans="1:9" x14ac:dyDescent="0.3">
      <c r="A4" t="s">
        <v>43</v>
      </c>
      <c r="B4" t="s">
        <v>66</v>
      </c>
      <c r="C4" t="s">
        <v>62</v>
      </c>
      <c r="D4" t="s">
        <v>63</v>
      </c>
      <c r="E4">
        <v>1050</v>
      </c>
      <c r="F4">
        <v>4</v>
      </c>
      <c r="G4">
        <v>4200</v>
      </c>
      <c r="H4" t="s">
        <v>64</v>
      </c>
      <c r="I4" t="s">
        <v>65</v>
      </c>
    </row>
    <row r="5" spans="1:9" x14ac:dyDescent="0.3">
      <c r="A5" t="s">
        <v>67</v>
      </c>
      <c r="F5">
        <v>16</v>
      </c>
      <c r="G5">
        <v>19400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6.5" x14ac:dyDescent="0.3"/>
  <sheetData>
    <row r="1" spans="1:10" x14ac:dyDescent="0.3">
      <c r="A1" t="s">
        <v>68</v>
      </c>
      <c r="B1" t="s">
        <v>0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12</v>
      </c>
    </row>
    <row r="2" spans="1:10" x14ac:dyDescent="0.3">
      <c r="A2" t="s">
        <v>76</v>
      </c>
      <c r="B2" t="s">
        <v>43</v>
      </c>
      <c r="C2" t="s">
        <v>46</v>
      </c>
      <c r="D2" t="s">
        <v>77</v>
      </c>
      <c r="E2">
        <v>-30</v>
      </c>
      <c r="F2">
        <v>-15</v>
      </c>
      <c r="G2">
        <v>1050</v>
      </c>
      <c r="H2">
        <v>66000</v>
      </c>
      <c r="I2">
        <v>55</v>
      </c>
      <c r="J2" t="s">
        <v>78</v>
      </c>
    </row>
    <row r="3" spans="1:10" x14ac:dyDescent="0.3">
      <c r="A3" t="s">
        <v>79</v>
      </c>
      <c r="B3" t="s">
        <v>43</v>
      </c>
      <c r="C3" t="s">
        <v>80</v>
      </c>
      <c r="D3" t="s">
        <v>81</v>
      </c>
      <c r="E3">
        <v>-30</v>
      </c>
      <c r="F3">
        <v>-15</v>
      </c>
      <c r="G3">
        <v>1050</v>
      </c>
      <c r="H3">
        <v>66000</v>
      </c>
      <c r="I3">
        <v>55</v>
      </c>
      <c r="J3" t="s">
        <v>78</v>
      </c>
    </row>
    <row r="4" spans="1:10" x14ac:dyDescent="0.3">
      <c r="A4" t="s">
        <v>82</v>
      </c>
      <c r="B4" t="s">
        <v>43</v>
      </c>
      <c r="C4" t="s">
        <v>83</v>
      </c>
      <c r="D4" t="s">
        <v>84</v>
      </c>
      <c r="E4">
        <v>-30</v>
      </c>
      <c r="F4">
        <v>-15</v>
      </c>
      <c r="G4">
        <v>1050</v>
      </c>
      <c r="H4">
        <v>66000</v>
      </c>
      <c r="I4">
        <v>55</v>
      </c>
      <c r="J4" t="s">
        <v>78</v>
      </c>
    </row>
    <row r="5" spans="1:10" x14ac:dyDescent="0.3">
      <c r="A5" t="s">
        <v>85</v>
      </c>
      <c r="B5" t="s">
        <v>43</v>
      </c>
      <c r="C5" t="s">
        <v>47</v>
      </c>
      <c r="D5" t="s">
        <v>17</v>
      </c>
      <c r="E5">
        <v>-30</v>
      </c>
      <c r="F5">
        <v>-15</v>
      </c>
      <c r="G5">
        <v>1050</v>
      </c>
      <c r="H5">
        <v>66000</v>
      </c>
      <c r="I5">
        <v>55</v>
      </c>
      <c r="J5" t="s">
        <v>78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6.5" x14ac:dyDescent="0.3"/>
  <cols>
    <col min="2" max="7" width="15.625" customWidth="1"/>
  </cols>
  <sheetData>
    <row r="1" spans="1:6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</row>
    <row r="2" spans="1:6" x14ac:dyDescent="0.3">
      <c r="A2" t="s">
        <v>16</v>
      </c>
      <c r="B2">
        <v>120</v>
      </c>
      <c r="C2">
        <v>66000</v>
      </c>
      <c r="D2">
        <v>66000</v>
      </c>
      <c r="E2">
        <v>0</v>
      </c>
      <c r="F2">
        <v>2800</v>
      </c>
    </row>
    <row r="3" spans="1:6" x14ac:dyDescent="0.3">
      <c r="A3" t="s">
        <v>46</v>
      </c>
      <c r="B3">
        <v>120</v>
      </c>
      <c r="C3">
        <v>66000</v>
      </c>
      <c r="D3">
        <v>0</v>
      </c>
      <c r="E3">
        <v>-30</v>
      </c>
      <c r="F3">
        <v>2050</v>
      </c>
    </row>
    <row r="4" spans="1:6" x14ac:dyDescent="0.3">
      <c r="A4" t="s">
        <v>77</v>
      </c>
      <c r="B4">
        <v>120</v>
      </c>
      <c r="C4">
        <v>0</v>
      </c>
      <c r="D4">
        <v>0</v>
      </c>
      <c r="E4">
        <v>-15</v>
      </c>
      <c r="F4">
        <v>0</v>
      </c>
    </row>
    <row r="5" spans="1:6" x14ac:dyDescent="0.3">
      <c r="A5" t="s">
        <v>92</v>
      </c>
      <c r="B5">
        <v>120</v>
      </c>
      <c r="C5">
        <v>66000</v>
      </c>
      <c r="D5">
        <v>66000</v>
      </c>
      <c r="E5">
        <v>0</v>
      </c>
      <c r="F5">
        <v>2800</v>
      </c>
    </row>
    <row r="6" spans="1:6" x14ac:dyDescent="0.3">
      <c r="A6" t="s">
        <v>80</v>
      </c>
      <c r="B6">
        <v>120</v>
      </c>
      <c r="C6">
        <v>66000</v>
      </c>
      <c r="D6">
        <v>0</v>
      </c>
      <c r="E6">
        <v>-30</v>
      </c>
      <c r="F6">
        <v>2050</v>
      </c>
    </row>
    <row r="7" spans="1:6" x14ac:dyDescent="0.3">
      <c r="A7" t="s">
        <v>81</v>
      </c>
      <c r="B7">
        <v>120</v>
      </c>
      <c r="C7">
        <v>66000</v>
      </c>
      <c r="D7">
        <v>0</v>
      </c>
      <c r="E7">
        <v>-15</v>
      </c>
      <c r="F7">
        <v>1000</v>
      </c>
    </row>
    <row r="8" spans="1:6" x14ac:dyDescent="0.3">
      <c r="A8" t="s">
        <v>93</v>
      </c>
      <c r="B8">
        <v>120</v>
      </c>
      <c r="C8">
        <v>0</v>
      </c>
      <c r="D8">
        <v>66000</v>
      </c>
      <c r="E8">
        <v>0</v>
      </c>
      <c r="F8">
        <v>1800</v>
      </c>
    </row>
    <row r="9" spans="1:6" x14ac:dyDescent="0.3">
      <c r="A9" t="s">
        <v>83</v>
      </c>
      <c r="B9">
        <v>120</v>
      </c>
      <c r="C9">
        <v>66000</v>
      </c>
      <c r="D9">
        <v>0</v>
      </c>
      <c r="E9">
        <v>-30</v>
      </c>
      <c r="F9">
        <v>2050</v>
      </c>
    </row>
    <row r="10" spans="1:6" x14ac:dyDescent="0.3">
      <c r="A10" t="s">
        <v>84</v>
      </c>
      <c r="B10">
        <v>120</v>
      </c>
      <c r="C10">
        <v>66000</v>
      </c>
      <c r="D10">
        <v>0</v>
      </c>
      <c r="E10">
        <v>-15</v>
      </c>
      <c r="F10">
        <v>1000</v>
      </c>
    </row>
    <row r="11" spans="1:6" x14ac:dyDescent="0.3">
      <c r="A11" t="s">
        <v>94</v>
      </c>
      <c r="B11">
        <v>120</v>
      </c>
      <c r="C11">
        <v>0</v>
      </c>
      <c r="D11">
        <v>66000</v>
      </c>
      <c r="E11">
        <v>0</v>
      </c>
      <c r="F11">
        <v>1800</v>
      </c>
    </row>
    <row r="12" spans="1:6" x14ac:dyDescent="0.3">
      <c r="A12" t="s">
        <v>47</v>
      </c>
      <c r="B12">
        <v>120</v>
      </c>
      <c r="C12">
        <v>66000</v>
      </c>
      <c r="D12">
        <v>0</v>
      </c>
      <c r="E12">
        <v>-30</v>
      </c>
      <c r="F12">
        <v>2050</v>
      </c>
    </row>
    <row r="13" spans="1:6" x14ac:dyDescent="0.3">
      <c r="A13" t="s">
        <v>17</v>
      </c>
      <c r="B13">
        <v>120</v>
      </c>
      <c r="C13">
        <v>0</v>
      </c>
      <c r="D13">
        <v>0</v>
      </c>
      <c r="E13">
        <v>-15</v>
      </c>
      <c r="F13">
        <v>0</v>
      </c>
    </row>
    <row r="14" spans="1:6" x14ac:dyDescent="0.3">
      <c r="A14" t="s">
        <v>95</v>
      </c>
      <c r="B14">
        <v>1440</v>
      </c>
      <c r="C14">
        <v>528000</v>
      </c>
      <c r="D14">
        <v>264000</v>
      </c>
      <c r="E14">
        <v>-180</v>
      </c>
      <c r="F14">
        <v>19400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B18" sqref="B18"/>
    </sheetView>
  </sheetViews>
  <sheetFormatPr defaultRowHeight="16.5" x14ac:dyDescent="0.3"/>
  <cols>
    <col min="1" max="1" width="20.75" customWidth="1"/>
    <col min="2" max="2" width="12.5" customWidth="1"/>
    <col min="3" max="3" width="15.625" customWidth="1"/>
    <col min="5" max="5" width="37" customWidth="1"/>
  </cols>
  <sheetData>
    <row r="1" spans="1:5" x14ac:dyDescent="0.3">
      <c r="A1" t="s">
        <v>96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3">
      <c r="A2" t="s">
        <v>101</v>
      </c>
      <c r="B2">
        <v>20315532</v>
      </c>
      <c r="C2" t="s">
        <v>102</v>
      </c>
      <c r="D2" t="s">
        <v>103</v>
      </c>
      <c r="E2" t="s">
        <v>104</v>
      </c>
    </row>
    <row r="3" spans="1:5" x14ac:dyDescent="0.3">
      <c r="A3" t="s">
        <v>105</v>
      </c>
      <c r="B3">
        <v>2156922</v>
      </c>
      <c r="C3" t="s">
        <v>102</v>
      </c>
      <c r="D3" t="s">
        <v>106</v>
      </c>
      <c r="E3" t="s">
        <v>107</v>
      </c>
    </row>
    <row r="4" spans="1:5" x14ac:dyDescent="0.3">
      <c r="A4" t="s">
        <v>108</v>
      </c>
      <c r="B4">
        <v>3200000</v>
      </c>
      <c r="C4" t="s">
        <v>102</v>
      </c>
      <c r="D4" t="s">
        <v>106</v>
      </c>
      <c r="E4" t="s">
        <v>107</v>
      </c>
    </row>
    <row r="5" spans="1:5" x14ac:dyDescent="0.3">
      <c r="A5" t="s">
        <v>109</v>
      </c>
      <c r="B5">
        <v>18723489</v>
      </c>
      <c r="C5" t="s">
        <v>102</v>
      </c>
      <c r="D5" t="s">
        <v>106</v>
      </c>
      <c r="E5" t="s">
        <v>110</v>
      </c>
    </row>
    <row r="6" spans="1:5" x14ac:dyDescent="0.3">
      <c r="A6" t="s">
        <v>111</v>
      </c>
      <c r="B6">
        <v>12275000</v>
      </c>
      <c r="C6" t="s">
        <v>112</v>
      </c>
      <c r="D6" t="s">
        <v>103</v>
      </c>
      <c r="E6" t="s">
        <v>113</v>
      </c>
    </row>
    <row r="7" spans="1:5" x14ac:dyDescent="0.3">
      <c r="A7" t="s">
        <v>114</v>
      </c>
      <c r="B7">
        <v>10774773</v>
      </c>
      <c r="C7" t="s">
        <v>112</v>
      </c>
      <c r="D7" t="s">
        <v>103</v>
      </c>
      <c r="E7" t="s">
        <v>115</v>
      </c>
    </row>
    <row r="8" spans="1:5" x14ac:dyDescent="0.3">
      <c r="A8" t="s">
        <v>116</v>
      </c>
      <c r="B8">
        <v>12760620</v>
      </c>
      <c r="C8" t="s">
        <v>102</v>
      </c>
      <c r="D8" t="s">
        <v>117</v>
      </c>
      <c r="E8" t="s">
        <v>118</v>
      </c>
    </row>
    <row r="9" spans="1:5" x14ac:dyDescent="0.3">
      <c r="A9" t="s">
        <v>119</v>
      </c>
      <c r="B9">
        <v>10500000</v>
      </c>
      <c r="C9" t="s">
        <v>120</v>
      </c>
      <c r="D9" t="s">
        <v>103</v>
      </c>
      <c r="E9" t="s">
        <v>121</v>
      </c>
    </row>
    <row r="10" spans="1:5" x14ac:dyDescent="0.3">
      <c r="A10" t="s">
        <v>122</v>
      </c>
      <c r="B10">
        <v>4000000</v>
      </c>
      <c r="C10" t="s">
        <v>385</v>
      </c>
      <c r="D10" t="s">
        <v>103</v>
      </c>
      <c r="E10" t="s">
        <v>386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"/>
  <sheetViews>
    <sheetView workbookViewId="0">
      <selection activeCell="G24" sqref="G24"/>
    </sheetView>
  </sheetViews>
  <sheetFormatPr defaultRowHeight="16.5" x14ac:dyDescent="0.3"/>
  <cols>
    <col min="2" max="2" width="9.5" customWidth="1"/>
    <col min="4" max="4" width="11.375" customWidth="1"/>
    <col min="8" max="8" width="9.5" customWidth="1"/>
    <col min="10" max="10" width="9.5" customWidth="1"/>
  </cols>
  <sheetData>
    <row r="1" spans="1:13" x14ac:dyDescent="0.3">
      <c r="A1" t="s">
        <v>86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</row>
    <row r="2" spans="1:13" x14ac:dyDescent="0.3">
      <c r="A2" t="s">
        <v>16</v>
      </c>
      <c r="B2">
        <f>'05_재무입력'!$B$2</f>
        <v>20315532</v>
      </c>
      <c r="C2">
        <f>'05_재무입력'!$B$8/12</f>
        <v>1063385</v>
      </c>
      <c r="D2">
        <f>'12_월별시장충격'!H2</f>
        <v>-786602.34210590692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13" si="0">B2+C2+D2+E2-F2+G2-H2-I2</f>
        <v>20592314.657894094</v>
      </c>
      <c r="K2">
        <f>'05_재무입력'!$B$9</f>
        <v>10500000</v>
      </c>
      <c r="L2">
        <f t="shared" ref="L2:L13" si="1">J2-K2</f>
        <v>10092314.657894094</v>
      </c>
      <c r="M2" t="str">
        <f t="shared" ref="M2:M13" si="2">IF(J2&gt;=K2,"충족","미달")</f>
        <v>충족</v>
      </c>
    </row>
    <row r="3" spans="1:13" x14ac:dyDescent="0.3">
      <c r="A3" t="s">
        <v>46</v>
      </c>
      <c r="B3">
        <f t="shared" ref="B3:B13" si="3">J2</f>
        <v>20592314.657894094</v>
      </c>
      <c r="C3">
        <f>'05_재무입력'!$B$8/12</f>
        <v>1063385</v>
      </c>
      <c r="D3">
        <f>'12_월별시장충격'!H3</f>
        <v>-611051.29288084258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si="0"/>
        <v>21044648.365013249</v>
      </c>
      <c r="K3">
        <f>'05_재무입력'!$B$9</f>
        <v>10500000</v>
      </c>
      <c r="L3">
        <f t="shared" si="1"/>
        <v>10544648.365013249</v>
      </c>
      <c r="M3" t="str">
        <f t="shared" si="2"/>
        <v>충족</v>
      </c>
    </row>
    <row r="4" spans="1:13" x14ac:dyDescent="0.3">
      <c r="A4" t="s">
        <v>77</v>
      </c>
      <c r="B4">
        <f t="shared" si="3"/>
        <v>21044648.365013249</v>
      </c>
      <c r="C4">
        <f>'05_재무입력'!$B$8/12</f>
        <v>1063385</v>
      </c>
      <c r="D4">
        <f>'12_월별시장충격'!H4</f>
        <v>-352174.06099561637</v>
      </c>
      <c r="E4">
        <v>0</v>
      </c>
      <c r="F4">
        <v>0</v>
      </c>
      <c r="G4">
        <v>0</v>
      </c>
      <c r="H4">
        <f>'05_재무입력'!$B$6/4</f>
        <v>3068750</v>
      </c>
      <c r="I4">
        <v>0</v>
      </c>
      <c r="J4">
        <f t="shared" si="0"/>
        <v>18687109.304017633</v>
      </c>
      <c r="K4">
        <f>'05_재무입력'!$B$9</f>
        <v>10500000</v>
      </c>
      <c r="L4">
        <f t="shared" si="1"/>
        <v>8187109.3040176332</v>
      </c>
      <c r="M4" t="str">
        <f t="shared" si="2"/>
        <v>충족</v>
      </c>
    </row>
    <row r="5" spans="1:13" x14ac:dyDescent="0.3">
      <c r="A5" t="s">
        <v>92</v>
      </c>
      <c r="B5">
        <f t="shared" si="3"/>
        <v>18687109.304017633</v>
      </c>
      <c r="C5">
        <f>'05_재무입력'!$B$8/12</f>
        <v>1063385</v>
      </c>
      <c r="D5">
        <f>'12_월별시장충격'!H5</f>
        <v>-786602.34210590692</v>
      </c>
      <c r="E5">
        <v>0</v>
      </c>
      <c r="F5">
        <v>0</v>
      </c>
      <c r="G5">
        <v>0</v>
      </c>
      <c r="H5">
        <v>0</v>
      </c>
      <c r="I5">
        <v>0</v>
      </c>
      <c r="J5">
        <f t="shared" si="0"/>
        <v>18963891.961911727</v>
      </c>
      <c r="K5">
        <f>'05_재무입력'!$B$9</f>
        <v>10500000</v>
      </c>
      <c r="L5">
        <f t="shared" si="1"/>
        <v>8463891.9619117267</v>
      </c>
      <c r="M5" t="str">
        <f t="shared" si="2"/>
        <v>충족</v>
      </c>
    </row>
    <row r="6" spans="1:13" x14ac:dyDescent="0.3">
      <c r="A6" t="s">
        <v>80</v>
      </c>
      <c r="B6">
        <f t="shared" si="3"/>
        <v>18963891.961911727</v>
      </c>
      <c r="C6">
        <f>'05_재무입력'!$B$8/12</f>
        <v>1063385</v>
      </c>
      <c r="D6">
        <f>'12_월별시장충격'!H6</f>
        <v>-611051.29288084258</v>
      </c>
      <c r="E6">
        <v>0</v>
      </c>
      <c r="F6">
        <v>0</v>
      </c>
      <c r="G6">
        <v>0</v>
      </c>
      <c r="H6">
        <v>0</v>
      </c>
      <c r="I6">
        <v>0</v>
      </c>
      <c r="J6">
        <f t="shared" si="0"/>
        <v>19416225.669030882</v>
      </c>
      <c r="K6">
        <f>'05_재무입력'!$B$9</f>
        <v>10500000</v>
      </c>
      <c r="L6">
        <f t="shared" si="1"/>
        <v>8916225.6690308824</v>
      </c>
      <c r="M6" t="str">
        <f t="shared" si="2"/>
        <v>충족</v>
      </c>
    </row>
    <row r="7" spans="1:13" x14ac:dyDescent="0.3">
      <c r="A7" t="s">
        <v>81</v>
      </c>
      <c r="B7">
        <f t="shared" si="3"/>
        <v>19416225.669030882</v>
      </c>
      <c r="C7">
        <f>'05_재무입력'!$B$8/12</f>
        <v>1063385</v>
      </c>
      <c r="D7">
        <f>'12_월별시장충격'!H7</f>
        <v>-520088.19077003305</v>
      </c>
      <c r="E7">
        <v>0</v>
      </c>
      <c r="F7">
        <v>0</v>
      </c>
      <c r="G7">
        <f>'05_재무입력'!$B$10/2</f>
        <v>2000000</v>
      </c>
      <c r="H7">
        <f>'05_재무입력'!$B$6/4</f>
        <v>3068750</v>
      </c>
      <c r="I7">
        <f>'05_재무입력'!$B$7/2</f>
        <v>5387386.5</v>
      </c>
      <c r="J7">
        <f t="shared" si="0"/>
        <v>13503385.978260849</v>
      </c>
      <c r="K7">
        <f>'05_재무입력'!$B$9</f>
        <v>10500000</v>
      </c>
      <c r="L7">
        <f t="shared" si="1"/>
        <v>3003385.9782608487</v>
      </c>
      <c r="M7" t="str">
        <f t="shared" si="2"/>
        <v>충족</v>
      </c>
    </row>
    <row r="8" spans="1:13" x14ac:dyDescent="0.3">
      <c r="A8" t="s">
        <v>93</v>
      </c>
      <c r="B8">
        <f t="shared" si="3"/>
        <v>13503385.978260849</v>
      </c>
      <c r="C8">
        <f>'05_재무입력'!$B$8/12</f>
        <v>1063385</v>
      </c>
      <c r="D8">
        <f>'12_월별시장충격'!H8</f>
        <v>-618688.21233149024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13948082.765929358</v>
      </c>
      <c r="K8">
        <f>'05_재무입력'!$B$9</f>
        <v>10500000</v>
      </c>
      <c r="L8">
        <f t="shared" si="1"/>
        <v>3448082.7659293581</v>
      </c>
      <c r="M8" t="str">
        <f t="shared" si="2"/>
        <v>충족</v>
      </c>
    </row>
    <row r="9" spans="1:13" x14ac:dyDescent="0.3">
      <c r="A9" t="s">
        <v>83</v>
      </c>
      <c r="B9">
        <f t="shared" si="3"/>
        <v>13948082.765929358</v>
      </c>
      <c r="C9">
        <f>'05_재무입력'!$B$8/12</f>
        <v>1063385</v>
      </c>
      <c r="D9">
        <f>'12_월별시장충격'!H9</f>
        <v>-611051.29288084258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14400416.473048516</v>
      </c>
      <c r="K9">
        <f>'05_재무입력'!$B$9</f>
        <v>10500000</v>
      </c>
      <c r="L9">
        <f t="shared" si="1"/>
        <v>3900416.4730485156</v>
      </c>
      <c r="M9" t="str">
        <f t="shared" si="2"/>
        <v>충족</v>
      </c>
    </row>
    <row r="10" spans="1:13" x14ac:dyDescent="0.3">
      <c r="A10" t="s">
        <v>84</v>
      </c>
      <c r="B10">
        <f t="shared" si="3"/>
        <v>14400416.473048516</v>
      </c>
      <c r="C10">
        <f>'05_재무입력'!$B$8/12</f>
        <v>1063385</v>
      </c>
      <c r="D10">
        <f>'12_월별시장충격'!H10</f>
        <v>-520088.19077003305</v>
      </c>
      <c r="E10">
        <v>0</v>
      </c>
      <c r="F10">
        <v>0</v>
      </c>
      <c r="G10">
        <v>0</v>
      </c>
      <c r="H10">
        <f>'05_재무입력'!$B$6/4</f>
        <v>3068750</v>
      </c>
      <c r="I10">
        <v>0</v>
      </c>
      <c r="J10">
        <f t="shared" si="0"/>
        <v>11874963.282278482</v>
      </c>
      <c r="K10">
        <f>'05_재무입력'!$B$9</f>
        <v>10500000</v>
      </c>
      <c r="L10">
        <f t="shared" si="1"/>
        <v>1374963.2822784819</v>
      </c>
      <c r="M10" t="str">
        <f t="shared" si="2"/>
        <v>충족</v>
      </c>
    </row>
    <row r="11" spans="1:13" x14ac:dyDescent="0.3">
      <c r="A11" t="s">
        <v>94</v>
      </c>
      <c r="B11">
        <f t="shared" si="3"/>
        <v>11874963.282278482</v>
      </c>
      <c r="C11">
        <f>'05_재무입력'!$B$8/12</f>
        <v>1063385</v>
      </c>
      <c r="D11">
        <f>'12_월별시장충격'!H11</f>
        <v>-618688.21233149024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0"/>
        <v>12319660.069946991</v>
      </c>
      <c r="K11">
        <f>'05_재무입력'!$B$9</f>
        <v>10500000</v>
      </c>
      <c r="L11">
        <f t="shared" si="1"/>
        <v>1819660.0699469913</v>
      </c>
      <c r="M11" t="str">
        <f t="shared" si="2"/>
        <v>충족</v>
      </c>
    </row>
    <row r="12" spans="1:13" x14ac:dyDescent="0.3">
      <c r="A12" t="s">
        <v>47</v>
      </c>
      <c r="B12">
        <f t="shared" si="3"/>
        <v>12319660.069946991</v>
      </c>
      <c r="C12">
        <f>'05_재무입력'!$B$8/12</f>
        <v>1063385</v>
      </c>
      <c r="D12">
        <f>'12_월별시장충격'!H12</f>
        <v>-611051.29288084258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12771993.777066149</v>
      </c>
      <c r="K12">
        <f>'05_재무입력'!$B$9</f>
        <v>10500000</v>
      </c>
      <c r="L12">
        <f t="shared" si="1"/>
        <v>2271993.7770661488</v>
      </c>
      <c r="M12" t="str">
        <f t="shared" si="2"/>
        <v>충족</v>
      </c>
    </row>
    <row r="13" spans="1:13" x14ac:dyDescent="0.3">
      <c r="A13" t="s">
        <v>17</v>
      </c>
      <c r="B13">
        <f t="shared" si="3"/>
        <v>12771993.777066149</v>
      </c>
      <c r="C13">
        <f>'05_재무입력'!$B$8/12</f>
        <v>1063385</v>
      </c>
      <c r="D13">
        <f>'12_월별시장충격'!H13</f>
        <v>-352174.06099561637</v>
      </c>
      <c r="E13">
        <v>0</v>
      </c>
      <c r="F13">
        <v>0</v>
      </c>
      <c r="G13">
        <f>'05_재무입력'!$B$10/2</f>
        <v>2000000</v>
      </c>
      <c r="H13">
        <f>'05_재무입력'!$B$6/4</f>
        <v>3068750</v>
      </c>
      <c r="I13">
        <f>'05_재무입력'!$B$7/2</f>
        <v>5387386.5</v>
      </c>
      <c r="J13">
        <f t="shared" si="0"/>
        <v>7027068.2160705328</v>
      </c>
      <c r="K13">
        <f>'05_재무입력'!$B$9</f>
        <v>10500000</v>
      </c>
      <c r="L13">
        <f t="shared" si="1"/>
        <v>-3472931.7839294672</v>
      </c>
      <c r="M13" t="str">
        <f t="shared" si="2"/>
        <v>미달</v>
      </c>
    </row>
    <row r="14" spans="1:13" x14ac:dyDescent="0.3">
      <c r="A14" t="s">
        <v>67</v>
      </c>
      <c r="C14">
        <f t="shared" ref="C14:I14" si="4">SUM(C2:C13)</f>
        <v>12760620</v>
      </c>
      <c r="D14">
        <f t="shared" si="4"/>
        <v>-6999310.7839294635</v>
      </c>
      <c r="E14">
        <f t="shared" si="4"/>
        <v>0</v>
      </c>
      <c r="F14">
        <f t="shared" si="4"/>
        <v>0</v>
      </c>
      <c r="G14">
        <f t="shared" si="4"/>
        <v>4000000</v>
      </c>
      <c r="H14">
        <f t="shared" si="4"/>
        <v>12275000</v>
      </c>
      <c r="I14">
        <f t="shared" si="4"/>
        <v>10774773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/>
  </sheetViews>
  <sheetFormatPr defaultRowHeight="16.5" x14ac:dyDescent="0.3"/>
  <cols>
    <col min="2" max="2" width="12.625" customWidth="1"/>
    <col min="3" max="3" width="13.125" customWidth="1"/>
    <col min="4" max="4" width="14.625" customWidth="1"/>
    <col min="5" max="5" width="15.75" customWidth="1"/>
    <col min="6" max="6" width="9.5" customWidth="1"/>
    <col min="7" max="7" width="13.625" customWidth="1"/>
    <col min="8" max="8" width="11.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</v>
      </c>
      <c r="E1" t="s">
        <v>58</v>
      </c>
      <c r="F1" t="s">
        <v>135</v>
      </c>
      <c r="G1" t="s">
        <v>136</v>
      </c>
      <c r="H1" t="s">
        <v>137</v>
      </c>
      <c r="I1" t="s">
        <v>10</v>
      </c>
      <c r="J1" t="s">
        <v>7</v>
      </c>
      <c r="K1" t="s">
        <v>138</v>
      </c>
      <c r="L1" t="s">
        <v>12</v>
      </c>
    </row>
    <row r="2" spans="1:12" x14ac:dyDescent="0.3">
      <c r="A2" t="s">
        <v>13</v>
      </c>
      <c r="B2" t="s">
        <v>14</v>
      </c>
      <c r="C2" t="s">
        <v>15</v>
      </c>
      <c r="D2" t="s">
        <v>139</v>
      </c>
      <c r="G2" t="s">
        <v>19</v>
      </c>
      <c r="I2">
        <v>1440</v>
      </c>
      <c r="J2" t="s">
        <v>20</v>
      </c>
      <c r="K2" t="s">
        <v>22</v>
      </c>
      <c r="L2" t="s">
        <v>140</v>
      </c>
    </row>
    <row r="3" spans="1:12" x14ac:dyDescent="0.3">
      <c r="A3" t="s">
        <v>24</v>
      </c>
      <c r="B3" t="s">
        <v>25</v>
      </c>
      <c r="C3" t="s">
        <v>26</v>
      </c>
      <c r="D3" t="s">
        <v>139</v>
      </c>
      <c r="G3" t="s">
        <v>28</v>
      </c>
      <c r="I3">
        <v>1800</v>
      </c>
      <c r="K3" t="s">
        <v>22</v>
      </c>
      <c r="L3" t="s">
        <v>141</v>
      </c>
    </row>
    <row r="4" spans="1:12" x14ac:dyDescent="0.3">
      <c r="A4" t="s">
        <v>31</v>
      </c>
      <c r="B4" t="s">
        <v>32</v>
      </c>
      <c r="C4" t="s">
        <v>33</v>
      </c>
      <c r="D4" t="s">
        <v>34</v>
      </c>
      <c r="E4">
        <v>8</v>
      </c>
      <c r="F4">
        <v>66000</v>
      </c>
      <c r="G4" t="s">
        <v>142</v>
      </c>
      <c r="H4">
        <v>45</v>
      </c>
      <c r="I4">
        <v>360</v>
      </c>
      <c r="J4" t="s">
        <v>36</v>
      </c>
      <c r="K4" t="s">
        <v>37</v>
      </c>
      <c r="L4" t="s">
        <v>143</v>
      </c>
    </row>
    <row r="5" spans="1:12" x14ac:dyDescent="0.3">
      <c r="A5" t="s">
        <v>39</v>
      </c>
      <c r="B5" t="s">
        <v>32</v>
      </c>
      <c r="C5" t="s">
        <v>33</v>
      </c>
      <c r="D5" t="s">
        <v>40</v>
      </c>
      <c r="E5">
        <v>4</v>
      </c>
      <c r="F5">
        <v>66000</v>
      </c>
      <c r="G5" t="s">
        <v>144</v>
      </c>
      <c r="H5">
        <v>80</v>
      </c>
      <c r="I5">
        <v>320</v>
      </c>
      <c r="J5" t="s">
        <v>41</v>
      </c>
      <c r="K5" t="s">
        <v>37</v>
      </c>
      <c r="L5" t="s">
        <v>145</v>
      </c>
    </row>
    <row r="6" spans="1:12" x14ac:dyDescent="0.3">
      <c r="A6" t="s">
        <v>43</v>
      </c>
      <c r="B6" t="s">
        <v>44</v>
      </c>
      <c r="C6" t="s">
        <v>45</v>
      </c>
      <c r="D6" t="s">
        <v>48</v>
      </c>
      <c r="E6">
        <v>4</v>
      </c>
      <c r="F6">
        <v>66000</v>
      </c>
      <c r="G6" t="s">
        <v>51</v>
      </c>
      <c r="H6">
        <v>45</v>
      </c>
      <c r="I6">
        <v>180</v>
      </c>
      <c r="J6" t="s">
        <v>50</v>
      </c>
      <c r="K6" t="s">
        <v>37</v>
      </c>
      <c r="L6" t="s">
        <v>146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"/>
  <sheetViews>
    <sheetView workbookViewId="0"/>
  </sheetViews>
  <sheetFormatPr defaultRowHeight="16.5" x14ac:dyDescent="0.3"/>
  <sheetData>
    <row r="1" spans="1:15" x14ac:dyDescent="0.3">
      <c r="A1" t="s">
        <v>0</v>
      </c>
      <c r="B1" t="s">
        <v>58</v>
      </c>
      <c r="C1" t="s">
        <v>137</v>
      </c>
      <c r="D1" t="s">
        <v>74</v>
      </c>
      <c r="E1" t="s">
        <v>147</v>
      </c>
      <c r="F1" t="s">
        <v>148</v>
      </c>
      <c r="G1" t="s">
        <v>149</v>
      </c>
      <c r="H1" t="s">
        <v>54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12</v>
      </c>
    </row>
    <row r="2" spans="1:15" x14ac:dyDescent="0.3">
      <c r="A2" t="s">
        <v>31</v>
      </c>
      <c r="B2">
        <v>8</v>
      </c>
      <c r="C2">
        <v>45</v>
      </c>
      <c r="D2">
        <v>66000</v>
      </c>
      <c r="E2">
        <v>28</v>
      </c>
      <c r="F2">
        <v>1848000</v>
      </c>
      <c r="G2">
        <v>1000</v>
      </c>
      <c r="H2" t="s">
        <v>61</v>
      </c>
      <c r="J2">
        <v>150000</v>
      </c>
      <c r="K2">
        <v>0</v>
      </c>
      <c r="L2" s="1">
        <v>0.05</v>
      </c>
      <c r="M2">
        <v>0</v>
      </c>
      <c r="O2" t="s">
        <v>156</v>
      </c>
    </row>
    <row r="3" spans="1:15" x14ac:dyDescent="0.3">
      <c r="A3" t="s">
        <v>39</v>
      </c>
      <c r="B3">
        <v>4</v>
      </c>
      <c r="C3">
        <v>80</v>
      </c>
      <c r="D3">
        <v>66000</v>
      </c>
      <c r="E3">
        <v>51</v>
      </c>
      <c r="F3">
        <v>3366000</v>
      </c>
      <c r="G3">
        <v>1800</v>
      </c>
      <c r="H3" t="s">
        <v>66</v>
      </c>
      <c r="J3">
        <v>150000</v>
      </c>
      <c r="K3">
        <v>0</v>
      </c>
      <c r="L3" s="1">
        <v>0.05</v>
      </c>
      <c r="M3">
        <v>0</v>
      </c>
      <c r="O3" t="s">
        <v>157</v>
      </c>
    </row>
    <row r="4" spans="1:15" x14ac:dyDescent="0.3">
      <c r="A4" t="s">
        <v>43</v>
      </c>
      <c r="B4">
        <v>4</v>
      </c>
      <c r="C4">
        <v>45</v>
      </c>
      <c r="D4">
        <v>66000</v>
      </c>
      <c r="E4">
        <v>55</v>
      </c>
      <c r="F4">
        <v>3630000</v>
      </c>
      <c r="G4">
        <v>1050</v>
      </c>
      <c r="H4" t="s">
        <v>66</v>
      </c>
      <c r="J4">
        <v>150000</v>
      </c>
      <c r="K4">
        <v>0</v>
      </c>
      <c r="L4" s="1">
        <v>0.05</v>
      </c>
      <c r="M4">
        <v>45</v>
      </c>
      <c r="O4" t="s">
        <v>158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6.5" x14ac:dyDescent="0.3"/>
  <sheetData>
    <row r="1" spans="1:6" x14ac:dyDescent="0.3">
      <c r="A1" t="s">
        <v>96</v>
      </c>
      <c r="B1" t="s">
        <v>159</v>
      </c>
      <c r="C1" t="s">
        <v>160</v>
      </c>
      <c r="D1" t="s">
        <v>161</v>
      </c>
      <c r="E1" t="s">
        <v>162</v>
      </c>
      <c r="F1" t="s">
        <v>12</v>
      </c>
    </row>
    <row r="2" spans="1:6" x14ac:dyDescent="0.3">
      <c r="A2" t="s">
        <v>163</v>
      </c>
      <c r="B2" t="s">
        <v>164</v>
      </c>
      <c r="C2" t="s">
        <v>165</v>
      </c>
      <c r="D2" t="s">
        <v>166</v>
      </c>
      <c r="E2">
        <v>22853380</v>
      </c>
      <c r="F2" t="s">
        <v>167</v>
      </c>
    </row>
    <row r="3" spans="1:6" x14ac:dyDescent="0.3">
      <c r="A3" t="s">
        <v>168</v>
      </c>
      <c r="B3" t="s">
        <v>169</v>
      </c>
      <c r="C3" t="s">
        <v>165</v>
      </c>
      <c r="D3" t="s">
        <v>166</v>
      </c>
      <c r="E3">
        <v>4043105</v>
      </c>
      <c r="F3" t="s">
        <v>167</v>
      </c>
    </row>
    <row r="4" spans="1:6" x14ac:dyDescent="0.3">
      <c r="A4" t="s">
        <v>170</v>
      </c>
      <c r="B4" t="s">
        <v>171</v>
      </c>
      <c r="C4" t="s">
        <v>172</v>
      </c>
      <c r="D4" t="s">
        <v>173</v>
      </c>
      <c r="E4">
        <v>3171053</v>
      </c>
      <c r="F4" t="s">
        <v>102</v>
      </c>
    </row>
    <row r="5" spans="1:6" x14ac:dyDescent="0.3">
      <c r="A5" t="s">
        <v>174</v>
      </c>
      <c r="B5">
        <v>0</v>
      </c>
      <c r="C5" t="s">
        <v>175</v>
      </c>
      <c r="D5" t="s">
        <v>176</v>
      </c>
      <c r="E5">
        <v>0</v>
      </c>
      <c r="F5" t="s">
        <v>177</v>
      </c>
    </row>
    <row r="6" spans="1:6" x14ac:dyDescent="0.3">
      <c r="A6" t="s">
        <v>67</v>
      </c>
      <c r="E6">
        <v>30067538</v>
      </c>
    </row>
  </sheetData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/>
  </sheetViews>
  <sheetFormatPr defaultRowHeight="16.5" x14ac:dyDescent="0.3"/>
  <sheetData>
    <row r="1" spans="1:8" x14ac:dyDescent="0.3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12</v>
      </c>
    </row>
    <row r="2" spans="1:8" x14ac:dyDescent="0.3">
      <c r="A2" t="s">
        <v>185</v>
      </c>
      <c r="B2" t="s">
        <v>186</v>
      </c>
      <c r="C2" t="s">
        <v>187</v>
      </c>
      <c r="D2">
        <v>13361</v>
      </c>
      <c r="E2" t="s">
        <v>188</v>
      </c>
      <c r="F2" t="s">
        <v>189</v>
      </c>
      <c r="G2" t="s">
        <v>13</v>
      </c>
      <c r="H2" t="s">
        <v>190</v>
      </c>
    </row>
    <row r="3" spans="1:8" x14ac:dyDescent="0.3">
      <c r="A3" t="s">
        <v>191</v>
      </c>
      <c r="B3" t="s">
        <v>192</v>
      </c>
      <c r="C3" t="s">
        <v>193</v>
      </c>
      <c r="D3">
        <v>28.05</v>
      </c>
      <c r="E3" t="s">
        <v>188</v>
      </c>
      <c r="F3" t="s">
        <v>215</v>
      </c>
      <c r="G3" t="s">
        <v>31</v>
      </c>
      <c r="H3" t="s">
        <v>194</v>
      </c>
    </row>
    <row r="4" spans="1:8" x14ac:dyDescent="0.3">
      <c r="A4" t="s">
        <v>195</v>
      </c>
      <c r="B4" t="s">
        <v>196</v>
      </c>
      <c r="C4" t="s">
        <v>193</v>
      </c>
      <c r="D4">
        <v>50.84</v>
      </c>
      <c r="E4" t="s">
        <v>188</v>
      </c>
      <c r="F4" t="s">
        <v>215</v>
      </c>
      <c r="G4" t="s">
        <v>39</v>
      </c>
      <c r="H4" t="s">
        <v>197</v>
      </c>
    </row>
    <row r="5" spans="1:8" x14ac:dyDescent="0.3">
      <c r="A5" t="s">
        <v>198</v>
      </c>
      <c r="B5" t="s">
        <v>199</v>
      </c>
      <c r="C5" t="s">
        <v>187</v>
      </c>
      <c r="D5">
        <v>13876.14</v>
      </c>
      <c r="E5" t="s">
        <v>188</v>
      </c>
      <c r="F5" t="s">
        <v>216</v>
      </c>
      <c r="G5" t="s">
        <v>43</v>
      </c>
      <c r="H5" t="s">
        <v>217</v>
      </c>
    </row>
    <row r="6" spans="1:8" x14ac:dyDescent="0.3">
      <c r="A6" t="s">
        <v>218</v>
      </c>
      <c r="B6" t="s">
        <v>219</v>
      </c>
      <c r="C6" t="s">
        <v>193</v>
      </c>
      <c r="D6">
        <v>535</v>
      </c>
      <c r="E6" t="s">
        <v>188</v>
      </c>
      <c r="F6" t="s">
        <v>220</v>
      </c>
      <c r="G6" t="s">
        <v>221</v>
      </c>
      <c r="H6" t="s">
        <v>222</v>
      </c>
    </row>
    <row r="7" spans="1:8" x14ac:dyDescent="0.3">
      <c r="A7" t="s">
        <v>200</v>
      </c>
      <c r="B7" t="s">
        <v>201</v>
      </c>
      <c r="C7" t="s">
        <v>202</v>
      </c>
      <c r="D7">
        <v>0.05</v>
      </c>
      <c r="E7" t="s">
        <v>203</v>
      </c>
      <c r="F7" t="s">
        <v>204</v>
      </c>
      <c r="G7" t="s">
        <v>205</v>
      </c>
      <c r="H7" t="s">
        <v>206</v>
      </c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/>
  </sheetViews>
  <sheetFormatPr defaultRowHeight="16.5" x14ac:dyDescent="0.3"/>
  <sheetData>
    <row r="1" spans="1:5" x14ac:dyDescent="0.3">
      <c r="A1" t="s">
        <v>223</v>
      </c>
      <c r="B1" t="s">
        <v>224</v>
      </c>
    </row>
    <row r="2" spans="1:5" x14ac:dyDescent="0.3">
      <c r="A2" t="s">
        <v>225</v>
      </c>
      <c r="B2" t="s">
        <v>226</v>
      </c>
    </row>
    <row r="4" spans="1:5" x14ac:dyDescent="0.3">
      <c r="A4" s="4" t="s">
        <v>178</v>
      </c>
      <c r="B4" s="4" t="s">
        <v>181</v>
      </c>
      <c r="C4" s="4" t="s">
        <v>227</v>
      </c>
      <c r="D4" s="4" t="s">
        <v>228</v>
      </c>
      <c r="E4" s="4" t="s">
        <v>229</v>
      </c>
    </row>
    <row r="5" spans="1:5" x14ac:dyDescent="0.3">
      <c r="A5" t="s">
        <v>185</v>
      </c>
      <c r="B5" s="14">
        <f>'10_기준시장값'!D2</f>
        <v>13361</v>
      </c>
      <c r="C5" s="8">
        <f>'16_역사변동분석'!J4</f>
        <v>-0.20013718747279946</v>
      </c>
      <c r="D5" s="14">
        <f>B5*(1+C5)</f>
        <v>10686.967038175926</v>
      </c>
      <c r="E5" s="14">
        <f>D5-B5</f>
        <v>-2674.0329618240739</v>
      </c>
    </row>
    <row r="6" spans="1:5" x14ac:dyDescent="0.3">
      <c r="A6" t="s">
        <v>191</v>
      </c>
      <c r="B6" s="14">
        <f>'10_기준시장값'!D3</f>
        <v>28.05</v>
      </c>
      <c r="C6" s="8">
        <f>'16_역사변동분석'!J5</f>
        <v>-7.1848739495798286E-2</v>
      </c>
      <c r="D6" s="14">
        <f>B6*(1+C6)</f>
        <v>26.03464285714286</v>
      </c>
      <c r="E6" s="14">
        <f>D6-B6</f>
        <v>-2.0153571428571411</v>
      </c>
    </row>
    <row r="7" spans="1:5" x14ac:dyDescent="0.3">
      <c r="A7" t="s">
        <v>195</v>
      </c>
      <c r="B7" s="14">
        <f>'10_기준시장값'!D4</f>
        <v>50.84</v>
      </c>
      <c r="C7" s="8">
        <f>'16_역사변동분석'!J6</f>
        <v>-7.4994079757506896E-2</v>
      </c>
      <c r="D7" s="14">
        <f>B7*(1+C7)</f>
        <v>47.027300985128349</v>
      </c>
      <c r="E7" s="14">
        <f>D7-B7</f>
        <v>-3.8126990148716544</v>
      </c>
    </row>
    <row r="8" spans="1:5" x14ac:dyDescent="0.3">
      <c r="A8" t="s">
        <v>198</v>
      </c>
      <c r="B8" s="14">
        <f>'10_기준시장값'!D5</f>
        <v>13876.14</v>
      </c>
      <c r="C8" s="8">
        <f>'16_역사변동분석'!J7</f>
        <v>0.227413403380056</v>
      </c>
      <c r="D8" s="14">
        <f>B8*(1+C8)</f>
        <v>17031.760223178127</v>
      </c>
      <c r="E8" s="14">
        <f>D8-B8</f>
        <v>3155.6202231781281</v>
      </c>
    </row>
    <row r="9" spans="1:5" x14ac:dyDescent="0.3">
      <c r="A9" t="s">
        <v>230</v>
      </c>
      <c r="B9" s="14">
        <v>1</v>
      </c>
      <c r="C9" s="8">
        <f>'16_역사변동분석'!J8</f>
        <v>7.7665863396773727E-2</v>
      </c>
      <c r="D9" s="14">
        <f>B9*(1+C9)</f>
        <v>1.0776658633967737</v>
      </c>
      <c r="E9" s="14">
        <f>D9-B9</f>
        <v>7.7665863396773727E-2</v>
      </c>
    </row>
    <row r="10" spans="1:5" x14ac:dyDescent="0.3">
      <c r="C10" s="1"/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workbookViewId="0"/>
  </sheetViews>
  <sheetFormatPr defaultRowHeight="16.5" x14ac:dyDescent="0.3"/>
  <sheetData>
    <row r="1" spans="1:8" x14ac:dyDescent="0.3">
      <c r="A1" t="s">
        <v>86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</row>
    <row r="2" spans="1:8" x14ac:dyDescent="0.3">
      <c r="A2" t="s">
        <v>16</v>
      </c>
      <c r="B2">
        <f>'04_월별노출'!B2*'11_시장시나리오'!$E$5*(1-'10_기준시장값'!$D$7)</f>
        <v>-304839.75764794444</v>
      </c>
      <c r="C2">
        <f>'04_월별노출'!C2*'11_시장시나리오'!$E$6*(1-'10_기준시장값'!$D$7)</f>
        <v>-126362.89285714274</v>
      </c>
      <c r="D2">
        <f>'04_월별노출'!D2*'11_시장시나리오'!$E$7*(1-'10_기준시장값'!$D$7)</f>
        <v>-239056.22823245273</v>
      </c>
      <c r="E2">
        <f>'04_월별노출'!E2*'11_시장시나리오'!$E$8</f>
        <v>0</v>
      </c>
      <c r="F2">
        <f>-'04_월별노출'!F2*'10_기준시장값'!$D$6*'11_시장시나리오'!$E$9</f>
        <v>-116343.46336836704</v>
      </c>
      <c r="G2">
        <v>0</v>
      </c>
      <c r="H2">
        <f t="shared" ref="H2:H13" si="0">SUM(B2:G2)</f>
        <v>-786602.34210590692</v>
      </c>
    </row>
    <row r="3" spans="1:8" x14ac:dyDescent="0.3">
      <c r="A3" t="s">
        <v>46</v>
      </c>
      <c r="B3">
        <f>'04_월별노출'!B3*'11_시장시나리오'!$E$5*(1-'10_기준시장값'!$D$7)</f>
        <v>-304839.75764794444</v>
      </c>
      <c r="C3">
        <f>'04_월별노출'!C3*'11_시장시나리오'!$E$6*(1-'10_기준시장값'!$D$7)</f>
        <v>-126362.89285714274</v>
      </c>
      <c r="D3">
        <f>'04_월별노출'!D3*'11_시장시나리오'!$E$7*(1-'10_기준시장값'!$D$7)</f>
        <v>0</v>
      </c>
      <c r="E3">
        <f>'04_월별노출'!E3*'11_시장시나리오'!$E$8</f>
        <v>-94668.606695343842</v>
      </c>
      <c r="F3">
        <f>-'04_월별노출'!F3*'10_기준시장값'!$D$6*'11_시장시나리오'!$E$9</f>
        <v>-85180.035680411587</v>
      </c>
      <c r="G3">
        <v>0</v>
      </c>
      <c r="H3">
        <f t="shared" si="0"/>
        <v>-611051.29288084258</v>
      </c>
    </row>
    <row r="4" spans="1:8" x14ac:dyDescent="0.3">
      <c r="A4" t="s">
        <v>77</v>
      </c>
      <c r="B4">
        <f>'04_월별노출'!B4*'11_시장시나리오'!$E$5*(1-'10_기준시장값'!$D$7)</f>
        <v>-304839.75764794444</v>
      </c>
      <c r="C4">
        <f>'04_월별노출'!C4*'11_시장시나리오'!$E$6*(1-'10_기준시장값'!$D$7)</f>
        <v>0</v>
      </c>
      <c r="D4">
        <f>'04_월별노출'!D4*'11_시장시나리오'!$E$7*(1-'10_기준시장값'!$D$7)</f>
        <v>0</v>
      </c>
      <c r="E4">
        <f>'04_월별노출'!E4*'11_시장시나리오'!$E$8</f>
        <v>-47334.303347671921</v>
      </c>
      <c r="F4">
        <f>-'04_월별노출'!F4*'10_기준시장값'!$D$6*'11_시장시나리오'!$E$9</f>
        <v>0</v>
      </c>
      <c r="G4">
        <v>0</v>
      </c>
      <c r="H4">
        <f t="shared" si="0"/>
        <v>-352174.06099561637</v>
      </c>
    </row>
    <row r="5" spans="1:8" x14ac:dyDescent="0.3">
      <c r="A5" t="s">
        <v>92</v>
      </c>
      <c r="B5">
        <f>'04_월별노출'!B5*'11_시장시나리오'!$E$5*(1-'10_기준시장값'!$D$7)</f>
        <v>-304839.75764794444</v>
      </c>
      <c r="C5">
        <f>'04_월별노출'!C5*'11_시장시나리오'!$E$6*(1-'10_기준시장값'!$D$7)</f>
        <v>-126362.89285714274</v>
      </c>
      <c r="D5">
        <f>'04_월별노출'!D5*'11_시장시나리오'!$E$7*(1-'10_기준시장값'!$D$7)</f>
        <v>-239056.22823245273</v>
      </c>
      <c r="E5">
        <f>'04_월별노출'!E5*'11_시장시나리오'!$E$8</f>
        <v>0</v>
      </c>
      <c r="F5">
        <f>-'04_월별노출'!F5*'10_기준시장값'!$D$6*'11_시장시나리오'!$E$9</f>
        <v>-116343.46336836704</v>
      </c>
      <c r="G5">
        <v>0</v>
      </c>
      <c r="H5">
        <f t="shared" si="0"/>
        <v>-786602.34210590692</v>
      </c>
    </row>
    <row r="6" spans="1:8" x14ac:dyDescent="0.3">
      <c r="A6" t="s">
        <v>80</v>
      </c>
      <c r="B6">
        <f>'04_월별노출'!B6*'11_시장시나리오'!$E$5*(1-'10_기준시장값'!$D$7)</f>
        <v>-304839.75764794444</v>
      </c>
      <c r="C6">
        <f>'04_월별노출'!C6*'11_시장시나리오'!$E$6*(1-'10_기준시장값'!$D$7)</f>
        <v>-126362.89285714274</v>
      </c>
      <c r="D6">
        <f>'04_월별노출'!D6*'11_시장시나리오'!$E$7*(1-'10_기준시장값'!$D$7)</f>
        <v>0</v>
      </c>
      <c r="E6">
        <f>'04_월별노출'!E6*'11_시장시나리오'!$E$8</f>
        <v>-94668.606695343842</v>
      </c>
      <c r="F6">
        <f>-'04_월별노출'!F6*'10_기준시장값'!$D$6*'11_시장시나리오'!$E$9</f>
        <v>-85180.035680411587</v>
      </c>
      <c r="G6">
        <v>0</v>
      </c>
      <c r="H6">
        <f t="shared" si="0"/>
        <v>-611051.29288084258</v>
      </c>
    </row>
    <row r="7" spans="1:8" x14ac:dyDescent="0.3">
      <c r="A7" t="s">
        <v>81</v>
      </c>
      <c r="B7">
        <f>'04_월별노출'!B7*'11_시장시나리오'!$E$5*(1-'10_기준시장값'!$D$7)</f>
        <v>-304839.75764794444</v>
      </c>
      <c r="C7">
        <f>'04_월별노출'!C7*'11_시장시나리오'!$E$6*(1-'10_기준시장값'!$D$7)</f>
        <v>-126362.89285714274</v>
      </c>
      <c r="D7">
        <f>'04_월별노출'!D7*'11_시장시나리오'!$E$7*(1-'10_기준시장값'!$D$7)</f>
        <v>0</v>
      </c>
      <c r="E7">
        <f>'04_월별노출'!E7*'11_시장시나리오'!$E$8</f>
        <v>-47334.303347671921</v>
      </c>
      <c r="F7">
        <f>-'04_월별노출'!F7*'10_기준시장값'!$D$6*'11_시장시나리오'!$E$9</f>
        <v>-41551.236917273942</v>
      </c>
      <c r="G7">
        <v>0</v>
      </c>
      <c r="H7">
        <f t="shared" si="0"/>
        <v>-520088.19077003305</v>
      </c>
    </row>
    <row r="8" spans="1:8" x14ac:dyDescent="0.3">
      <c r="A8" t="s">
        <v>93</v>
      </c>
      <c r="B8">
        <f>'04_월별노출'!B8*'11_시장시나리오'!$E$5*(1-'10_기준시장값'!$D$7)</f>
        <v>-304839.75764794444</v>
      </c>
      <c r="C8">
        <f>'04_월별노출'!C8*'11_시장시나리오'!$E$6*(1-'10_기준시장값'!$D$7)</f>
        <v>0</v>
      </c>
      <c r="D8">
        <f>'04_월별노출'!D8*'11_시장시나리오'!$E$7*(1-'10_기준시장값'!$D$7)</f>
        <v>-239056.22823245273</v>
      </c>
      <c r="E8">
        <f>'04_월별노출'!E8*'11_시장시나리오'!$E$8</f>
        <v>0</v>
      </c>
      <c r="F8">
        <f>-'04_월별노출'!F8*'10_기준시장값'!$D$6*'11_시장시나리오'!$E$9</f>
        <v>-74792.226451093098</v>
      </c>
      <c r="G8">
        <v>0</v>
      </c>
      <c r="H8">
        <f t="shared" si="0"/>
        <v>-618688.21233149024</v>
      </c>
    </row>
    <row r="9" spans="1:8" x14ac:dyDescent="0.3">
      <c r="A9" t="s">
        <v>83</v>
      </c>
      <c r="B9">
        <f>'04_월별노출'!B9*'11_시장시나리오'!$E$5*(1-'10_기준시장값'!$D$7)</f>
        <v>-304839.75764794444</v>
      </c>
      <c r="C9">
        <f>'04_월별노출'!C9*'11_시장시나리오'!$E$6*(1-'10_기준시장값'!$D$7)</f>
        <v>-126362.89285714274</v>
      </c>
      <c r="D9">
        <f>'04_월별노출'!D9*'11_시장시나리오'!$E$7*(1-'10_기준시장값'!$D$7)</f>
        <v>0</v>
      </c>
      <c r="E9">
        <f>'04_월별노출'!E9*'11_시장시나리오'!$E$8</f>
        <v>-94668.606695343842</v>
      </c>
      <c r="F9">
        <f>-'04_월별노출'!F9*'10_기준시장값'!$D$6*'11_시장시나리오'!$E$9</f>
        <v>-85180.035680411587</v>
      </c>
      <c r="G9">
        <v>0</v>
      </c>
      <c r="H9">
        <f t="shared" si="0"/>
        <v>-611051.29288084258</v>
      </c>
    </row>
    <row r="10" spans="1:8" x14ac:dyDescent="0.3">
      <c r="A10" t="s">
        <v>84</v>
      </c>
      <c r="B10">
        <f>'04_월별노출'!B10*'11_시장시나리오'!$E$5*(1-'10_기준시장값'!$D$7)</f>
        <v>-304839.75764794444</v>
      </c>
      <c r="C10">
        <f>'04_월별노출'!C10*'11_시장시나리오'!$E$6*(1-'10_기준시장값'!$D$7)</f>
        <v>-126362.89285714274</v>
      </c>
      <c r="D10">
        <f>'04_월별노출'!D10*'11_시장시나리오'!$E$7*(1-'10_기준시장값'!$D$7)</f>
        <v>0</v>
      </c>
      <c r="E10">
        <f>'04_월별노출'!E10*'11_시장시나리오'!$E$8</f>
        <v>-47334.303347671921</v>
      </c>
      <c r="F10">
        <f>-'04_월별노출'!F10*'10_기준시장값'!$D$6*'11_시장시나리오'!$E$9</f>
        <v>-41551.236917273942</v>
      </c>
      <c r="G10">
        <v>0</v>
      </c>
      <c r="H10">
        <f t="shared" si="0"/>
        <v>-520088.19077003305</v>
      </c>
    </row>
    <row r="11" spans="1:8" x14ac:dyDescent="0.3">
      <c r="A11" t="s">
        <v>94</v>
      </c>
      <c r="B11">
        <f>'04_월별노출'!B11*'11_시장시나리오'!$E$5*(1-'10_기준시장값'!$D$7)</f>
        <v>-304839.75764794444</v>
      </c>
      <c r="C11">
        <f>'04_월별노출'!C11*'11_시장시나리오'!$E$6*(1-'10_기준시장값'!$D$7)</f>
        <v>0</v>
      </c>
      <c r="D11">
        <f>'04_월별노출'!D11*'11_시장시나리오'!$E$7*(1-'10_기준시장값'!$D$7)</f>
        <v>-239056.22823245273</v>
      </c>
      <c r="E11">
        <f>'04_월별노출'!E11*'11_시장시나리오'!$E$8</f>
        <v>0</v>
      </c>
      <c r="F11">
        <f>-'04_월별노출'!F11*'10_기준시장값'!$D$6*'11_시장시나리오'!$E$9</f>
        <v>-74792.226451093098</v>
      </c>
      <c r="G11">
        <v>0</v>
      </c>
      <c r="H11">
        <f t="shared" si="0"/>
        <v>-618688.21233149024</v>
      </c>
    </row>
    <row r="12" spans="1:8" x14ac:dyDescent="0.3">
      <c r="A12" t="s">
        <v>47</v>
      </c>
      <c r="B12">
        <f>'04_월별노출'!B12*'11_시장시나리오'!$E$5*(1-'10_기준시장값'!$D$7)</f>
        <v>-304839.75764794444</v>
      </c>
      <c r="C12">
        <f>'04_월별노출'!C12*'11_시장시나리오'!$E$6*(1-'10_기준시장값'!$D$7)</f>
        <v>-126362.89285714274</v>
      </c>
      <c r="D12">
        <f>'04_월별노출'!D12*'11_시장시나리오'!$E$7*(1-'10_기준시장값'!$D$7)</f>
        <v>0</v>
      </c>
      <c r="E12">
        <f>'04_월별노출'!E12*'11_시장시나리오'!$E$8</f>
        <v>-94668.606695343842</v>
      </c>
      <c r="F12">
        <f>-'04_월별노출'!F12*'10_기준시장값'!$D$6*'11_시장시나리오'!$E$9</f>
        <v>-85180.035680411587</v>
      </c>
      <c r="G12">
        <v>0</v>
      </c>
      <c r="H12">
        <f t="shared" si="0"/>
        <v>-611051.29288084258</v>
      </c>
    </row>
    <row r="13" spans="1:8" x14ac:dyDescent="0.3">
      <c r="A13" t="s">
        <v>17</v>
      </c>
      <c r="B13">
        <f>'04_월별노출'!B13*'11_시장시나리오'!$E$5*(1-'10_기준시장값'!$D$7)</f>
        <v>-304839.75764794444</v>
      </c>
      <c r="C13">
        <f>'04_월별노출'!C13*'11_시장시나리오'!$E$6*(1-'10_기준시장값'!$D$7)</f>
        <v>0</v>
      </c>
      <c r="D13">
        <f>'04_월별노출'!D13*'11_시장시나리오'!$E$7*(1-'10_기준시장값'!$D$7)</f>
        <v>0</v>
      </c>
      <c r="E13">
        <f>'04_월별노출'!E13*'11_시장시나리오'!$E$8</f>
        <v>-47334.303347671921</v>
      </c>
      <c r="F13">
        <f>-'04_월별노출'!F13*'10_기준시장값'!$D$6*'11_시장시나리오'!$E$9</f>
        <v>0</v>
      </c>
      <c r="G13">
        <v>0</v>
      </c>
      <c r="H13">
        <f t="shared" si="0"/>
        <v>-352174.06099561637</v>
      </c>
    </row>
    <row r="14" spans="1:8" x14ac:dyDescent="0.3">
      <c r="A14" t="s">
        <v>67</v>
      </c>
      <c r="B14">
        <f t="shared" ref="B14:H14" si="1">SUM(B2:B13)</f>
        <v>-3658077.091775334</v>
      </c>
      <c r="C14">
        <f t="shared" si="1"/>
        <v>-1010903.1428571419</v>
      </c>
      <c r="D14">
        <f t="shared" si="1"/>
        <v>-956224.91292981093</v>
      </c>
      <c r="E14">
        <f t="shared" si="1"/>
        <v>-568011.64017206302</v>
      </c>
      <c r="F14">
        <f t="shared" si="1"/>
        <v>-806093.99619511457</v>
      </c>
      <c r="G14">
        <f t="shared" si="1"/>
        <v>0</v>
      </c>
      <c r="H14">
        <f t="shared" si="1"/>
        <v>-6999310.7839294635</v>
      </c>
    </row>
  </sheetData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/>
  </sheetViews>
  <sheetFormatPr defaultRowHeight="16.5" x14ac:dyDescent="0.3"/>
  <sheetData>
    <row r="1" spans="1:10" x14ac:dyDescent="0.3">
      <c r="A1" t="s">
        <v>86</v>
      </c>
      <c r="B1" t="s">
        <v>207</v>
      </c>
      <c r="C1" t="s">
        <v>208</v>
      </c>
      <c r="D1" t="s">
        <v>132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</row>
    <row r="2" spans="1:10" x14ac:dyDescent="0.3">
      <c r="A2" t="s">
        <v>16</v>
      </c>
      <c r="B2">
        <f>'05_재무입력'!$B$2+'06_월별현금흐름'!C2+'06_월별현금흐름'!G2-'06_월별현금흐름'!H2-'06_월별현금흐름'!I2</f>
        <v>21378917</v>
      </c>
      <c r="C2">
        <f>B2+SUM('12_월별시장충격'!$H$2:H2)</f>
        <v>20592314.657894094</v>
      </c>
      <c r="D2">
        <f>'05_재무입력'!$B$9</f>
        <v>10500000</v>
      </c>
      <c r="E2">
        <f t="shared" ref="E2:E13" si="0">MAX(0,D2-B2)</f>
        <v>0</v>
      </c>
      <c r="F2">
        <f t="shared" ref="F2:F13" si="1">MAX(0,D2-C2)</f>
        <v>0</v>
      </c>
      <c r="G2">
        <f t="shared" ref="G2:G13" si="2">MAX(0,F2-E2)</f>
        <v>0</v>
      </c>
      <c r="H2">
        <f>SUM('12_월별시장충격'!$H$2:H2)</f>
        <v>-786602.34210590692</v>
      </c>
      <c r="I2">
        <f t="shared" ref="I2:I13" si="3">IF(G2=0,0,G2/ABS(H2))</f>
        <v>0</v>
      </c>
      <c r="J2" t="str">
        <f t="shared" ref="J2:J13" si="4">IF(AND(E2&gt;0,G2&gt;0),"구조적+시장위험",IF(E2&gt;0,"구조적 유동성",IF(G2&gt;0,"시장위험","충족")))</f>
        <v>충족</v>
      </c>
    </row>
    <row r="3" spans="1:10" x14ac:dyDescent="0.3">
      <c r="A3" t="s">
        <v>46</v>
      </c>
      <c r="B3">
        <f>B2+'06_월별현금흐름'!C3+'06_월별현금흐름'!G3-'06_월별현금흐름'!H3-'06_월별현금흐름'!I3</f>
        <v>22442302</v>
      </c>
      <c r="C3">
        <f>B3+SUM('12_월별시장충격'!$H$2:H3)</f>
        <v>21044648.365013249</v>
      </c>
      <c r="D3">
        <f>'05_재무입력'!$B$9</f>
        <v>10500000</v>
      </c>
      <c r="E3">
        <f t="shared" si="0"/>
        <v>0</v>
      </c>
      <c r="F3">
        <f t="shared" si="1"/>
        <v>0</v>
      </c>
      <c r="G3">
        <f t="shared" si="2"/>
        <v>0</v>
      </c>
      <c r="H3">
        <f>SUM('12_월별시장충격'!$H$2:H3)</f>
        <v>-1397653.6349867494</v>
      </c>
      <c r="I3">
        <f t="shared" si="3"/>
        <v>0</v>
      </c>
      <c r="J3" t="str">
        <f t="shared" si="4"/>
        <v>충족</v>
      </c>
    </row>
    <row r="4" spans="1:10" x14ac:dyDescent="0.3">
      <c r="A4" t="s">
        <v>77</v>
      </c>
      <c r="B4">
        <f>B3+'06_월별현금흐름'!C4+'06_월별현금흐름'!G4-'06_월별현금흐름'!H4-'06_월별현금흐름'!I4</f>
        <v>20436937</v>
      </c>
      <c r="C4">
        <f>B4+SUM('12_월별시장충격'!$H$2:H4)</f>
        <v>18687109.304017633</v>
      </c>
      <c r="D4">
        <f>'05_재무입력'!$B$9</f>
        <v>10500000</v>
      </c>
      <c r="E4">
        <f t="shared" si="0"/>
        <v>0</v>
      </c>
      <c r="F4">
        <f t="shared" si="1"/>
        <v>0</v>
      </c>
      <c r="G4">
        <f t="shared" si="2"/>
        <v>0</v>
      </c>
      <c r="H4">
        <f>SUM('12_월별시장충격'!$H$2:H4)</f>
        <v>-1749827.6959823659</v>
      </c>
      <c r="I4">
        <f t="shared" si="3"/>
        <v>0</v>
      </c>
      <c r="J4" t="str">
        <f t="shared" si="4"/>
        <v>충족</v>
      </c>
    </row>
    <row r="5" spans="1:10" x14ac:dyDescent="0.3">
      <c r="A5" t="s">
        <v>92</v>
      </c>
      <c r="B5">
        <f>B4+'06_월별현금흐름'!C5+'06_월별현금흐름'!G5-'06_월별현금흐름'!H5-'06_월별현금흐름'!I5</f>
        <v>21500322</v>
      </c>
      <c r="C5">
        <f>B5+SUM('12_월별시장충격'!$H$2:H5)</f>
        <v>18963891.961911727</v>
      </c>
      <c r="D5">
        <f>'05_재무입력'!$B$9</f>
        <v>10500000</v>
      </c>
      <c r="E5">
        <f t="shared" si="0"/>
        <v>0</v>
      </c>
      <c r="F5">
        <f t="shared" si="1"/>
        <v>0</v>
      </c>
      <c r="G5">
        <f t="shared" si="2"/>
        <v>0</v>
      </c>
      <c r="H5">
        <f>SUM('12_월별시장충격'!$H$2:H5)</f>
        <v>-2536430.0380882728</v>
      </c>
      <c r="I5">
        <f t="shared" si="3"/>
        <v>0</v>
      </c>
      <c r="J5" t="str">
        <f t="shared" si="4"/>
        <v>충족</v>
      </c>
    </row>
    <row r="6" spans="1:10" x14ac:dyDescent="0.3">
      <c r="A6" t="s">
        <v>80</v>
      </c>
      <c r="B6">
        <f>B5+'06_월별현금흐름'!C6+'06_월별현금흐름'!G6-'06_월별현금흐름'!H6-'06_월별현금흐름'!I6</f>
        <v>22563707</v>
      </c>
      <c r="C6">
        <f>B6+SUM('12_월별시장충격'!$H$2:H6)</f>
        <v>19416225.669030886</v>
      </c>
      <c r="D6">
        <f>'05_재무입력'!$B$9</f>
        <v>10500000</v>
      </c>
      <c r="E6">
        <f t="shared" si="0"/>
        <v>0</v>
      </c>
      <c r="F6">
        <f t="shared" si="1"/>
        <v>0</v>
      </c>
      <c r="G6">
        <f t="shared" si="2"/>
        <v>0</v>
      </c>
      <c r="H6">
        <f>SUM('12_월별시장충격'!$H$2:H6)</f>
        <v>-3147481.3309691153</v>
      </c>
      <c r="I6">
        <f t="shared" si="3"/>
        <v>0</v>
      </c>
      <c r="J6" t="str">
        <f t="shared" si="4"/>
        <v>충족</v>
      </c>
    </row>
    <row r="7" spans="1:10" x14ac:dyDescent="0.3">
      <c r="A7" t="s">
        <v>81</v>
      </c>
      <c r="B7">
        <f>B6+'06_월별현금흐름'!C7+'06_월별현금흐름'!G7-'06_월별현금흐름'!H7-'06_월별현금흐름'!I7</f>
        <v>17170955.5</v>
      </c>
      <c r="C7">
        <f>B7+SUM('12_월별시장충격'!$H$2:H7)</f>
        <v>13503385.978260852</v>
      </c>
      <c r="D7">
        <f>'05_재무입력'!$B$9</f>
        <v>10500000</v>
      </c>
      <c r="E7">
        <f t="shared" si="0"/>
        <v>0</v>
      </c>
      <c r="F7">
        <f t="shared" si="1"/>
        <v>0</v>
      </c>
      <c r="G7">
        <f t="shared" si="2"/>
        <v>0</v>
      </c>
      <c r="H7">
        <f>SUM('12_월별시장충격'!$H$2:H7)</f>
        <v>-3667569.5217391485</v>
      </c>
      <c r="I7">
        <f t="shared" si="3"/>
        <v>0</v>
      </c>
      <c r="J7" t="str">
        <f t="shared" si="4"/>
        <v>충족</v>
      </c>
    </row>
    <row r="8" spans="1:10" x14ac:dyDescent="0.3">
      <c r="A8" t="s">
        <v>93</v>
      </c>
      <c r="B8">
        <f>B7+'06_월별현금흐름'!C8+'06_월별현금흐름'!G8-'06_월별현금흐름'!H8-'06_월별현금흐름'!I8</f>
        <v>18234340.5</v>
      </c>
      <c r="C8">
        <f>B8+SUM('12_월별시장충격'!$H$2:H8)</f>
        <v>13948082.76592936</v>
      </c>
      <c r="D8">
        <f>'05_재무입력'!$B$9</f>
        <v>10500000</v>
      </c>
      <c r="E8">
        <f t="shared" si="0"/>
        <v>0</v>
      </c>
      <c r="F8">
        <f t="shared" si="1"/>
        <v>0</v>
      </c>
      <c r="G8">
        <f t="shared" si="2"/>
        <v>0</v>
      </c>
      <c r="H8">
        <f>SUM('12_월별시장충격'!$H$2:H8)</f>
        <v>-4286257.7340706391</v>
      </c>
      <c r="I8">
        <f t="shared" si="3"/>
        <v>0</v>
      </c>
      <c r="J8" t="str">
        <f t="shared" si="4"/>
        <v>충족</v>
      </c>
    </row>
    <row r="9" spans="1:10" x14ac:dyDescent="0.3">
      <c r="A9" t="s">
        <v>83</v>
      </c>
      <c r="B9">
        <f>B8+'06_월별현금흐름'!C9+'06_월별현금흐름'!G9-'06_월별현금흐름'!H9-'06_월별현금흐름'!I9</f>
        <v>19297725.5</v>
      </c>
      <c r="C9">
        <f>B9+SUM('12_월별시장충격'!$H$2:H9)</f>
        <v>14400416.473048519</v>
      </c>
      <c r="D9">
        <f>'05_재무입력'!$B$9</f>
        <v>10500000</v>
      </c>
      <c r="E9">
        <f t="shared" si="0"/>
        <v>0</v>
      </c>
      <c r="F9">
        <f t="shared" si="1"/>
        <v>0</v>
      </c>
      <c r="G9">
        <f t="shared" si="2"/>
        <v>0</v>
      </c>
      <c r="H9">
        <f>SUM('12_월별시장충격'!$H$2:H9)</f>
        <v>-4897309.0269514816</v>
      </c>
      <c r="I9">
        <f t="shared" si="3"/>
        <v>0</v>
      </c>
      <c r="J9" t="str">
        <f t="shared" si="4"/>
        <v>충족</v>
      </c>
    </row>
    <row r="10" spans="1:10" x14ac:dyDescent="0.3">
      <c r="A10" t="s">
        <v>84</v>
      </c>
      <c r="B10">
        <f>B9+'06_월별현금흐름'!C10+'06_월별현금흐름'!G10-'06_월별현금흐름'!H10-'06_월별현금흐름'!I10</f>
        <v>17292360.5</v>
      </c>
      <c r="C10">
        <f>B10+SUM('12_월별시장충격'!$H$2:H10)</f>
        <v>11874963.282278486</v>
      </c>
      <c r="D10">
        <f>'05_재무입력'!$B$9</f>
        <v>10500000</v>
      </c>
      <c r="E10">
        <f t="shared" si="0"/>
        <v>0</v>
      </c>
      <c r="F10">
        <f t="shared" si="1"/>
        <v>0</v>
      </c>
      <c r="G10">
        <f t="shared" si="2"/>
        <v>0</v>
      </c>
      <c r="H10">
        <f>SUM('12_월별시장충격'!$H$2:H10)</f>
        <v>-5417397.2177215144</v>
      </c>
      <c r="I10">
        <f t="shared" si="3"/>
        <v>0</v>
      </c>
      <c r="J10" t="str">
        <f t="shared" si="4"/>
        <v>충족</v>
      </c>
    </row>
    <row r="11" spans="1:10" x14ac:dyDescent="0.3">
      <c r="A11" t="s">
        <v>94</v>
      </c>
      <c r="B11">
        <f>B10+'06_월별현금흐름'!C11+'06_월별현금흐름'!G11-'06_월별현금흐름'!H11-'06_월별현금흐름'!I11</f>
        <v>18355745.5</v>
      </c>
      <c r="C11">
        <f>B11+SUM('12_월별시장충격'!$H$2:H11)</f>
        <v>12319660.069946995</v>
      </c>
      <c r="D11">
        <f>'05_재무입력'!$B$9</f>
        <v>10500000</v>
      </c>
      <c r="E11">
        <f t="shared" si="0"/>
        <v>0</v>
      </c>
      <c r="F11">
        <f t="shared" si="1"/>
        <v>0</v>
      </c>
      <c r="G11">
        <f t="shared" si="2"/>
        <v>0</v>
      </c>
      <c r="H11">
        <f>SUM('12_월별시장충격'!$H$2:H11)</f>
        <v>-6036085.430053005</v>
      </c>
      <c r="I11">
        <f t="shared" si="3"/>
        <v>0</v>
      </c>
      <c r="J11" t="str">
        <f t="shared" si="4"/>
        <v>충족</v>
      </c>
    </row>
    <row r="12" spans="1:10" x14ac:dyDescent="0.3">
      <c r="A12" t="s">
        <v>47</v>
      </c>
      <c r="B12">
        <f>B11+'06_월별현금흐름'!C12+'06_월별현금흐름'!G12-'06_월별현금흐름'!H12-'06_월별현금흐름'!I12</f>
        <v>19419130.5</v>
      </c>
      <c r="C12">
        <f>B12+SUM('12_월별시장충격'!$H$2:H12)</f>
        <v>12771993.777066153</v>
      </c>
      <c r="D12">
        <f>'05_재무입력'!$B$9</f>
        <v>10500000</v>
      </c>
      <c r="E12">
        <f t="shared" si="0"/>
        <v>0</v>
      </c>
      <c r="F12">
        <f t="shared" si="1"/>
        <v>0</v>
      </c>
      <c r="G12">
        <f t="shared" si="2"/>
        <v>0</v>
      </c>
      <c r="H12">
        <f>SUM('12_월별시장충격'!$H$2:H12)</f>
        <v>-6647136.7229338475</v>
      </c>
      <c r="I12">
        <f t="shared" si="3"/>
        <v>0</v>
      </c>
      <c r="J12" t="str">
        <f t="shared" si="4"/>
        <v>충족</v>
      </c>
    </row>
    <row r="13" spans="1:10" x14ac:dyDescent="0.3">
      <c r="A13" t="s">
        <v>17</v>
      </c>
      <c r="B13">
        <f>B12+'06_월별현금흐름'!C13+'06_월별현금흐름'!G13-'06_월별현금흐름'!H13-'06_월별현금흐름'!I13</f>
        <v>14026379</v>
      </c>
      <c r="C13">
        <f>B13+SUM('12_월별시장충격'!$H$2:H13)</f>
        <v>7027068.2160705365</v>
      </c>
      <c r="D13">
        <f>'05_재무입력'!$B$9</f>
        <v>10500000</v>
      </c>
      <c r="E13">
        <f t="shared" si="0"/>
        <v>0</v>
      </c>
      <c r="F13">
        <f t="shared" si="1"/>
        <v>3472931.7839294635</v>
      </c>
      <c r="G13">
        <f t="shared" si="2"/>
        <v>3472931.7839294635</v>
      </c>
      <c r="H13">
        <f>SUM('12_월별시장충격'!$H$2:H13)</f>
        <v>-6999310.7839294635</v>
      </c>
      <c r="I13">
        <f t="shared" si="3"/>
        <v>0.4961819657877421</v>
      </c>
      <c r="J13" t="str">
        <f t="shared" si="4"/>
        <v>시장위험</v>
      </c>
    </row>
  </sheetData>
  <phoneticPr fontId="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8"/>
  <sheetViews>
    <sheetView workbookViewId="0"/>
  </sheetViews>
  <sheetFormatPr defaultRowHeight="16.5" x14ac:dyDescent="0.3"/>
  <cols>
    <col min="1" max="1" width="9" customWidth="1"/>
    <col min="2" max="2" width="25" customWidth="1"/>
    <col min="3" max="3" width="30" customWidth="1"/>
    <col min="4" max="4" width="28" customWidth="1"/>
    <col min="5" max="7" width="20" customWidth="1"/>
    <col min="8" max="8" width="10" customWidth="1"/>
    <col min="9" max="9" width="18" customWidth="1"/>
    <col min="10" max="10" width="25" customWidth="1"/>
    <col min="11" max="11" width="34" customWidth="1"/>
    <col min="12" max="12" width="28" customWidth="1"/>
  </cols>
  <sheetData>
    <row r="1" spans="1:12" x14ac:dyDescent="0.3">
      <c r="A1" s="2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12</v>
      </c>
    </row>
    <row r="2" spans="1:12" ht="33" x14ac:dyDescent="0.3">
      <c r="A2" s="3" t="s">
        <v>13</v>
      </c>
      <c r="B2" s="3" t="s">
        <v>249</v>
      </c>
      <c r="C2" s="3" t="s">
        <v>250</v>
      </c>
      <c r="D2" s="3" t="s">
        <v>251</v>
      </c>
      <c r="E2" s="3" t="s">
        <v>252</v>
      </c>
      <c r="F2" s="3"/>
      <c r="G2" s="3"/>
      <c r="H2" s="3" t="s">
        <v>253</v>
      </c>
      <c r="I2" s="3" t="s">
        <v>254</v>
      </c>
      <c r="J2" s="3" t="s">
        <v>255</v>
      </c>
      <c r="K2" s="3" t="s">
        <v>256</v>
      </c>
      <c r="L2" s="3" t="s">
        <v>257</v>
      </c>
    </row>
    <row r="3" spans="1:12" ht="33" x14ac:dyDescent="0.3">
      <c r="A3" s="3" t="s">
        <v>31</v>
      </c>
      <c r="B3" s="3" t="s">
        <v>258</v>
      </c>
      <c r="C3" s="3" t="s">
        <v>259</v>
      </c>
      <c r="D3" s="3" t="s">
        <v>260</v>
      </c>
      <c r="E3" s="3" t="s">
        <v>261</v>
      </c>
      <c r="F3" s="3" t="s">
        <v>252</v>
      </c>
      <c r="G3" s="3"/>
      <c r="H3" s="3" t="s">
        <v>253</v>
      </c>
      <c r="I3" s="3" t="s">
        <v>254</v>
      </c>
      <c r="J3" s="3" t="s">
        <v>262</v>
      </c>
      <c r="K3" s="3" t="s">
        <v>263</v>
      </c>
      <c r="L3" s="3" t="s">
        <v>264</v>
      </c>
    </row>
    <row r="4" spans="1:12" ht="33" x14ac:dyDescent="0.3">
      <c r="A4" s="3" t="s">
        <v>39</v>
      </c>
      <c r="B4" s="3" t="s">
        <v>265</v>
      </c>
      <c r="C4" s="3" t="s">
        <v>266</v>
      </c>
      <c r="D4" s="3" t="s">
        <v>260</v>
      </c>
      <c r="E4" s="3" t="s">
        <v>267</v>
      </c>
      <c r="F4" s="3" t="s">
        <v>268</v>
      </c>
      <c r="G4" s="3" t="s">
        <v>252</v>
      </c>
      <c r="H4" s="3" t="s">
        <v>253</v>
      </c>
      <c r="I4" s="3" t="s">
        <v>254</v>
      </c>
      <c r="J4" s="3" t="s">
        <v>262</v>
      </c>
      <c r="K4" s="3" t="s">
        <v>269</v>
      </c>
      <c r="L4" s="3" t="s">
        <v>264</v>
      </c>
    </row>
    <row r="5" spans="1:12" ht="33" x14ac:dyDescent="0.3">
      <c r="A5" s="3" t="s">
        <v>43</v>
      </c>
      <c r="B5" s="3" t="s">
        <v>270</v>
      </c>
      <c r="C5" s="3" t="s">
        <v>271</v>
      </c>
      <c r="D5" s="3" t="s">
        <v>272</v>
      </c>
      <c r="E5" s="3" t="s">
        <v>268</v>
      </c>
      <c r="F5" s="3" t="s">
        <v>267</v>
      </c>
      <c r="G5" s="3" t="s">
        <v>252</v>
      </c>
      <c r="H5" s="3" t="s">
        <v>273</v>
      </c>
      <c r="I5" s="3" t="s">
        <v>254</v>
      </c>
      <c r="J5" s="3" t="s">
        <v>262</v>
      </c>
      <c r="K5" s="3" t="s">
        <v>274</v>
      </c>
      <c r="L5" s="3" t="s">
        <v>275</v>
      </c>
    </row>
    <row r="6" spans="1:12" ht="33" x14ac:dyDescent="0.3">
      <c r="A6" s="3" t="s">
        <v>276</v>
      </c>
      <c r="B6" s="3" t="s">
        <v>277</v>
      </c>
      <c r="C6" s="3" t="s">
        <v>278</v>
      </c>
      <c r="D6" s="3" t="s">
        <v>279</v>
      </c>
      <c r="E6" s="3" t="s">
        <v>280</v>
      </c>
      <c r="F6" s="3"/>
      <c r="G6" s="3"/>
      <c r="H6" s="3" t="s">
        <v>273</v>
      </c>
      <c r="I6" s="3" t="s">
        <v>254</v>
      </c>
      <c r="J6" s="3" t="s">
        <v>281</v>
      </c>
      <c r="K6" s="3" t="s">
        <v>282</v>
      </c>
      <c r="L6" s="3" t="s">
        <v>283</v>
      </c>
    </row>
    <row r="7" spans="1:12" ht="33" x14ac:dyDescent="0.3">
      <c r="A7" s="3" t="s">
        <v>284</v>
      </c>
      <c r="B7" s="3" t="s">
        <v>285</v>
      </c>
      <c r="C7" s="3" t="s">
        <v>278</v>
      </c>
      <c r="D7" s="3" t="s">
        <v>279</v>
      </c>
      <c r="E7" s="3" t="s">
        <v>280</v>
      </c>
      <c r="F7" s="3"/>
      <c r="G7" s="3"/>
      <c r="H7" s="3" t="s">
        <v>273</v>
      </c>
      <c r="I7" s="3" t="s">
        <v>254</v>
      </c>
      <c r="J7" s="3" t="s">
        <v>281</v>
      </c>
      <c r="K7" s="3" t="s">
        <v>286</v>
      </c>
      <c r="L7" s="3" t="s">
        <v>283</v>
      </c>
    </row>
    <row r="8" spans="1:12" ht="33" x14ac:dyDescent="0.3">
      <c r="A8" s="3" t="s">
        <v>287</v>
      </c>
      <c r="B8" s="3" t="s">
        <v>285</v>
      </c>
      <c r="C8" s="3" t="s">
        <v>278</v>
      </c>
      <c r="D8" s="3" t="s">
        <v>279</v>
      </c>
      <c r="E8" s="3" t="s">
        <v>280</v>
      </c>
      <c r="F8" s="3"/>
      <c r="G8" s="3"/>
      <c r="H8" s="3" t="s">
        <v>273</v>
      </c>
      <c r="I8" s="3" t="s">
        <v>254</v>
      </c>
      <c r="J8" s="3" t="s">
        <v>281</v>
      </c>
      <c r="K8" s="3" t="s">
        <v>286</v>
      </c>
      <c r="L8" s="3" t="s">
        <v>288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7"/>
  <sheetViews>
    <sheetView workbookViewId="0"/>
  </sheetViews>
  <sheetFormatPr defaultRowHeight="16.5" x14ac:dyDescent="0.3"/>
  <cols>
    <col min="1" max="1" width="12" customWidth="1"/>
    <col min="2" max="3" width="24" customWidth="1"/>
    <col min="4" max="4" width="30" customWidth="1"/>
    <col min="5" max="5" width="19" customWidth="1"/>
    <col min="7" max="7" width="18" customWidth="1"/>
    <col min="8" max="8" width="60" customWidth="1"/>
  </cols>
  <sheetData>
    <row r="1" spans="1:8" ht="33" x14ac:dyDescent="0.3">
      <c r="A1" s="2" t="s">
        <v>86</v>
      </c>
      <c r="B1" s="2" t="s">
        <v>289</v>
      </c>
      <c r="C1" s="2" t="s">
        <v>290</v>
      </c>
      <c r="D1" s="2" t="s">
        <v>291</v>
      </c>
      <c r="E1" s="2" t="s">
        <v>292</v>
      </c>
      <c r="G1" s="4" t="s">
        <v>96</v>
      </c>
      <c r="H1" s="4" t="s">
        <v>293</v>
      </c>
    </row>
    <row r="2" spans="1:8" x14ac:dyDescent="0.3">
      <c r="A2" s="5">
        <v>44621</v>
      </c>
      <c r="B2" s="6">
        <v>42.85</v>
      </c>
      <c r="C2" s="6">
        <v>76.3</v>
      </c>
      <c r="D2" s="6">
        <v>28769.24</v>
      </c>
      <c r="E2" s="6">
        <v>117.25</v>
      </c>
      <c r="G2" s="3" t="s">
        <v>294</v>
      </c>
      <c r="H2" s="3" t="s">
        <v>295</v>
      </c>
    </row>
    <row r="3" spans="1:8" x14ac:dyDescent="0.3">
      <c r="A3" s="5">
        <v>44652</v>
      </c>
      <c r="B3" s="6">
        <v>44.25</v>
      </c>
      <c r="C3" s="6">
        <v>78.5</v>
      </c>
      <c r="D3" s="6">
        <v>26716.19</v>
      </c>
      <c r="E3" s="6">
        <v>104.58</v>
      </c>
      <c r="G3" s="3" t="s">
        <v>296</v>
      </c>
      <c r="H3" s="3" t="s">
        <v>297</v>
      </c>
    </row>
    <row r="4" spans="1:8" x14ac:dyDescent="0.3">
      <c r="A4" s="5">
        <v>44682</v>
      </c>
      <c r="B4" s="6">
        <v>46.25</v>
      </c>
      <c r="C4" s="6">
        <v>81.38</v>
      </c>
      <c r="D4" s="6">
        <v>29573.14</v>
      </c>
      <c r="E4" s="6">
        <v>113.34</v>
      </c>
      <c r="G4" s="3" t="s">
        <v>298</v>
      </c>
      <c r="H4" s="3" t="s">
        <v>297</v>
      </c>
    </row>
    <row r="5" spans="1:8" x14ac:dyDescent="0.3">
      <c r="A5" s="5">
        <v>44713</v>
      </c>
      <c r="B5" s="6">
        <v>45.1</v>
      </c>
      <c r="C5" s="6">
        <v>78.95</v>
      </c>
      <c r="D5" s="6">
        <v>25559.200000000001</v>
      </c>
      <c r="E5" s="6">
        <v>122.71</v>
      </c>
      <c r="G5" s="3" t="s">
        <v>299</v>
      </c>
      <c r="H5" s="3" t="s">
        <v>300</v>
      </c>
    </row>
    <row r="6" spans="1:8" x14ac:dyDescent="0.3">
      <c r="A6" s="5">
        <v>44743</v>
      </c>
      <c r="B6" s="6">
        <v>41.31</v>
      </c>
      <c r="C6" s="6">
        <v>70.88</v>
      </c>
      <c r="D6" s="6">
        <v>20054.29</v>
      </c>
      <c r="E6" s="6">
        <v>111.93</v>
      </c>
      <c r="G6" s="3" t="s">
        <v>301</v>
      </c>
      <c r="H6" s="3" t="s">
        <v>302</v>
      </c>
    </row>
    <row r="7" spans="1:8" ht="33" x14ac:dyDescent="0.3">
      <c r="A7" s="5">
        <v>44774</v>
      </c>
      <c r="B7" s="6">
        <v>37.380000000000003</v>
      </c>
      <c r="C7" s="6">
        <v>64.13</v>
      </c>
      <c r="D7" s="6">
        <v>17004.91</v>
      </c>
      <c r="E7" s="6">
        <v>100.45</v>
      </c>
      <c r="G7" s="3" t="s">
        <v>303</v>
      </c>
      <c r="H7" s="3" t="s">
        <v>304</v>
      </c>
    </row>
    <row r="8" spans="1:8" ht="33" x14ac:dyDescent="0.3">
      <c r="A8" s="5">
        <v>44805</v>
      </c>
      <c r="B8" s="6">
        <v>35.1</v>
      </c>
      <c r="C8" s="6">
        <v>59.7</v>
      </c>
      <c r="D8" s="6">
        <v>17444.400000000001</v>
      </c>
      <c r="E8" s="6">
        <v>89.76</v>
      </c>
      <c r="G8" s="3" t="s">
        <v>305</v>
      </c>
      <c r="H8" s="3" t="s">
        <v>306</v>
      </c>
    </row>
    <row r="9" spans="1:8" ht="33" x14ac:dyDescent="0.3">
      <c r="A9" s="5">
        <v>44835</v>
      </c>
      <c r="B9" s="6">
        <v>36.380000000000003</v>
      </c>
      <c r="C9" s="6">
        <v>62.56</v>
      </c>
      <c r="D9" s="6">
        <v>19609.259999999998</v>
      </c>
      <c r="E9" s="6">
        <v>93.33</v>
      </c>
      <c r="G9" s="3" t="s">
        <v>307</v>
      </c>
      <c r="H9" s="3" t="s">
        <v>308</v>
      </c>
    </row>
    <row r="10" spans="1:8" x14ac:dyDescent="0.3">
      <c r="A10" s="5">
        <v>44866</v>
      </c>
      <c r="B10" s="6">
        <v>33.75</v>
      </c>
      <c r="C10" s="6">
        <v>57.83</v>
      </c>
      <c r="D10" s="6">
        <v>15318.95</v>
      </c>
      <c r="E10" s="6">
        <v>91.42</v>
      </c>
      <c r="G10" s="3" t="s">
        <v>309</v>
      </c>
      <c r="H10" s="3" t="s">
        <v>310</v>
      </c>
    </row>
    <row r="11" spans="1:8" x14ac:dyDescent="0.3">
      <c r="A11" s="5">
        <v>44896</v>
      </c>
      <c r="B11" s="6">
        <v>31.94</v>
      </c>
      <c r="C11" s="6">
        <v>56.81</v>
      </c>
      <c r="D11" s="6">
        <v>14657.65</v>
      </c>
      <c r="E11" s="6">
        <v>80.92</v>
      </c>
      <c r="G11" s="3" t="s">
        <v>311</v>
      </c>
      <c r="H11" s="3" t="s">
        <v>312</v>
      </c>
    </row>
    <row r="12" spans="1:8" x14ac:dyDescent="0.3">
      <c r="A12" s="5">
        <v>44927</v>
      </c>
      <c r="B12" s="6">
        <v>28.81</v>
      </c>
      <c r="C12" s="6">
        <v>52.31</v>
      </c>
      <c r="D12" s="6">
        <v>10611.37</v>
      </c>
      <c r="E12" s="6">
        <v>82.5</v>
      </c>
    </row>
    <row r="13" spans="1:8" x14ac:dyDescent="0.3">
      <c r="A13" s="5">
        <v>44958</v>
      </c>
      <c r="B13" s="6">
        <v>27.06</v>
      </c>
      <c r="C13" s="6">
        <v>48.56</v>
      </c>
      <c r="D13" s="6">
        <v>9781.6</v>
      </c>
      <c r="E13" s="6">
        <v>82.59</v>
      </c>
    </row>
    <row r="14" spans="1:8" x14ac:dyDescent="0.3">
      <c r="A14" s="5">
        <v>44986</v>
      </c>
      <c r="B14" s="6">
        <v>29.3</v>
      </c>
      <c r="C14" s="6">
        <v>52.5</v>
      </c>
      <c r="D14" s="6">
        <v>14990.86</v>
      </c>
      <c r="E14" s="6">
        <v>78.430000000000007</v>
      </c>
    </row>
    <row r="15" spans="1:8" x14ac:dyDescent="0.3">
      <c r="A15" s="5">
        <v>45017</v>
      </c>
      <c r="B15" s="6">
        <v>30</v>
      </c>
      <c r="C15" s="6">
        <v>55.19</v>
      </c>
      <c r="D15" s="6">
        <v>15237.55</v>
      </c>
      <c r="E15" s="6">
        <v>84.64</v>
      </c>
    </row>
    <row r="16" spans="1:8" x14ac:dyDescent="0.3">
      <c r="A16" s="5">
        <v>45047</v>
      </c>
      <c r="B16" s="6">
        <v>28.56</v>
      </c>
      <c r="C16" s="6">
        <v>51.38</v>
      </c>
      <c r="D16" s="6">
        <v>12357.65</v>
      </c>
      <c r="E16" s="6">
        <v>75.47</v>
      </c>
    </row>
    <row r="17" spans="1:5" x14ac:dyDescent="0.3">
      <c r="A17" s="5">
        <v>45078</v>
      </c>
      <c r="B17" s="6">
        <v>26.5</v>
      </c>
      <c r="C17" s="6">
        <v>48.1</v>
      </c>
      <c r="D17" s="6">
        <v>10691.71</v>
      </c>
      <c r="E17" s="6">
        <v>74.84</v>
      </c>
    </row>
    <row r="18" spans="1:5" x14ac:dyDescent="0.3">
      <c r="A18" s="5">
        <v>45108</v>
      </c>
      <c r="B18" s="6">
        <v>25.44</v>
      </c>
      <c r="C18" s="6">
        <v>46.13</v>
      </c>
      <c r="D18" s="6">
        <v>9536.9500000000007</v>
      </c>
      <c r="E18" s="6">
        <v>80.11</v>
      </c>
    </row>
    <row r="19" spans="1:5" x14ac:dyDescent="0.3">
      <c r="A19" s="5">
        <v>45139</v>
      </c>
      <c r="B19" s="6">
        <v>27.1</v>
      </c>
      <c r="C19" s="6">
        <v>50.4</v>
      </c>
      <c r="D19" s="6">
        <v>11490.5</v>
      </c>
      <c r="E19" s="6">
        <v>86.15</v>
      </c>
    </row>
    <row r="20" spans="1:5" x14ac:dyDescent="0.3">
      <c r="A20" s="5">
        <v>45170</v>
      </c>
      <c r="B20" s="6">
        <v>29.75</v>
      </c>
      <c r="C20" s="6">
        <v>55.75</v>
      </c>
      <c r="D20" s="6">
        <v>14499.89</v>
      </c>
      <c r="E20" s="6">
        <v>93.72</v>
      </c>
    </row>
    <row r="21" spans="1:5" x14ac:dyDescent="0.3">
      <c r="A21" s="5">
        <v>45200</v>
      </c>
      <c r="B21" s="6">
        <v>29.94</v>
      </c>
      <c r="C21" s="6">
        <v>57.13</v>
      </c>
      <c r="D21" s="6">
        <v>15522.47</v>
      </c>
      <c r="E21" s="6">
        <v>90.6</v>
      </c>
    </row>
    <row r="22" spans="1:5" x14ac:dyDescent="0.3">
      <c r="A22" s="5">
        <v>45231</v>
      </c>
      <c r="B22" s="6">
        <v>29.94</v>
      </c>
      <c r="C22" s="6">
        <v>57.94</v>
      </c>
      <c r="D22" s="6">
        <v>16229.1</v>
      </c>
      <c r="E22" s="6">
        <v>82.94</v>
      </c>
    </row>
    <row r="23" spans="1:5" x14ac:dyDescent="0.3">
      <c r="A23" s="5">
        <v>45261</v>
      </c>
      <c r="B23" s="6">
        <v>32.17</v>
      </c>
      <c r="C23" s="6">
        <v>61.75</v>
      </c>
      <c r="D23" s="6">
        <v>18940.88</v>
      </c>
      <c r="E23" s="6">
        <v>77.63</v>
      </c>
    </row>
    <row r="24" spans="1:5" x14ac:dyDescent="0.3">
      <c r="A24" s="5">
        <v>45292</v>
      </c>
      <c r="B24" s="6">
        <v>31.06</v>
      </c>
      <c r="C24" s="6">
        <v>58.82</v>
      </c>
      <c r="D24" s="6">
        <v>14701</v>
      </c>
      <c r="E24" s="6">
        <v>80.12</v>
      </c>
    </row>
    <row r="25" spans="1:5" x14ac:dyDescent="0.3">
      <c r="A25" s="5">
        <v>45323</v>
      </c>
      <c r="B25" s="6">
        <v>32</v>
      </c>
      <c r="C25" s="6">
        <v>59</v>
      </c>
      <c r="D25" s="6">
        <v>15639.63</v>
      </c>
      <c r="E25" s="6">
        <v>83.48</v>
      </c>
    </row>
    <row r="26" spans="1:5" x14ac:dyDescent="0.3">
      <c r="A26" s="5">
        <v>45352</v>
      </c>
      <c r="B26" s="6">
        <v>33</v>
      </c>
      <c r="C26" s="6">
        <v>62</v>
      </c>
      <c r="D26" s="6">
        <v>19431.650000000001</v>
      </c>
      <c r="E26" s="6">
        <v>85.41</v>
      </c>
    </row>
    <row r="27" spans="1:5" x14ac:dyDescent="0.3">
      <c r="A27" s="5">
        <v>45383</v>
      </c>
      <c r="B27" s="6">
        <v>33</v>
      </c>
      <c r="C27" s="6">
        <v>61</v>
      </c>
      <c r="D27" s="6">
        <v>16361.62</v>
      </c>
      <c r="E27" s="6">
        <v>89.94</v>
      </c>
    </row>
    <row r="28" spans="1:5" x14ac:dyDescent="0.3">
      <c r="A28" s="5">
        <v>45413</v>
      </c>
      <c r="B28" s="6">
        <v>33</v>
      </c>
      <c r="C28" s="6">
        <v>62</v>
      </c>
      <c r="D28" s="6">
        <v>18568.25</v>
      </c>
      <c r="E28" s="6">
        <v>81.75</v>
      </c>
    </row>
    <row r="29" spans="1:5" x14ac:dyDescent="0.3">
      <c r="A29" s="5">
        <v>45444</v>
      </c>
      <c r="B29" s="6">
        <v>32</v>
      </c>
      <c r="C29" s="6">
        <v>60</v>
      </c>
      <c r="D29" s="6">
        <v>17108.259999999998</v>
      </c>
      <c r="E29" s="6">
        <v>82.25</v>
      </c>
    </row>
    <row r="30" spans="1:5" x14ac:dyDescent="0.3">
      <c r="A30" s="5">
        <v>45474</v>
      </c>
      <c r="B30" s="6">
        <v>32</v>
      </c>
      <c r="C30" s="6">
        <v>60</v>
      </c>
      <c r="D30" s="6">
        <v>15414</v>
      </c>
      <c r="E30" s="6">
        <v>85.15</v>
      </c>
    </row>
    <row r="31" spans="1:5" x14ac:dyDescent="0.3">
      <c r="A31" s="5">
        <v>45505</v>
      </c>
      <c r="B31" s="6">
        <v>31</v>
      </c>
      <c r="C31" s="6">
        <v>59</v>
      </c>
      <c r="D31" s="6">
        <v>14765.71</v>
      </c>
      <c r="E31" s="6">
        <v>80.36</v>
      </c>
    </row>
    <row r="32" spans="1:5" x14ac:dyDescent="0.3">
      <c r="A32" s="5">
        <v>45536</v>
      </c>
      <c r="B32" s="6">
        <v>30</v>
      </c>
      <c r="C32" s="6">
        <v>56</v>
      </c>
      <c r="D32" s="6">
        <v>13967.89</v>
      </c>
      <c r="E32" s="6">
        <v>74.02</v>
      </c>
    </row>
    <row r="33" spans="1:5" x14ac:dyDescent="0.3">
      <c r="A33" s="5">
        <v>45566</v>
      </c>
      <c r="B33" s="6">
        <v>30</v>
      </c>
      <c r="C33" s="6">
        <v>54</v>
      </c>
      <c r="D33" s="6">
        <v>13432.05</v>
      </c>
      <c r="E33" s="6">
        <v>75.63</v>
      </c>
    </row>
    <row r="34" spans="1:5" x14ac:dyDescent="0.3">
      <c r="A34" s="5">
        <v>45597</v>
      </c>
      <c r="B34" s="6">
        <v>29</v>
      </c>
      <c r="C34" s="6">
        <v>50</v>
      </c>
      <c r="D34" s="6">
        <v>11645.38</v>
      </c>
      <c r="E34" s="6">
        <v>74.349999999999994</v>
      </c>
    </row>
    <row r="35" spans="1:5" x14ac:dyDescent="0.3">
      <c r="A35" s="5">
        <v>45627</v>
      </c>
      <c r="B35" s="6">
        <v>28</v>
      </c>
      <c r="C35" s="6">
        <v>46</v>
      </c>
      <c r="D35" s="6">
        <v>9539.4699999999993</v>
      </c>
      <c r="E35" s="6">
        <v>73.86</v>
      </c>
    </row>
    <row r="36" spans="1:5" x14ac:dyDescent="0.3">
      <c r="A36" s="5">
        <v>45658</v>
      </c>
      <c r="B36" s="6">
        <v>26</v>
      </c>
      <c r="C36" s="6">
        <v>46</v>
      </c>
      <c r="D36" s="6">
        <v>7559.44</v>
      </c>
      <c r="E36" s="6">
        <v>79.27</v>
      </c>
    </row>
    <row r="37" spans="1:5" x14ac:dyDescent="0.3">
      <c r="A37" s="5">
        <v>45689</v>
      </c>
      <c r="B37" s="6">
        <v>27</v>
      </c>
      <c r="C37" s="6">
        <v>46</v>
      </c>
      <c r="D37" s="6">
        <v>9692.25</v>
      </c>
      <c r="E37" s="6">
        <v>75.44</v>
      </c>
    </row>
    <row r="38" spans="1:5" x14ac:dyDescent="0.3">
      <c r="A38" s="5">
        <v>45717</v>
      </c>
      <c r="B38" s="6">
        <v>27.38</v>
      </c>
      <c r="C38" s="6">
        <v>46.94</v>
      </c>
      <c r="D38" s="6">
        <v>11474.45</v>
      </c>
      <c r="E38" s="6">
        <v>72.73</v>
      </c>
    </row>
    <row r="39" spans="1:5" x14ac:dyDescent="0.3">
      <c r="A39" s="5">
        <v>45748</v>
      </c>
      <c r="B39" s="6">
        <v>27</v>
      </c>
      <c r="C39" s="6">
        <v>46</v>
      </c>
      <c r="D39" s="6">
        <v>12724.27</v>
      </c>
      <c r="E39" s="6">
        <v>68.13</v>
      </c>
    </row>
    <row r="40" spans="1:5" x14ac:dyDescent="0.3">
      <c r="A40" s="5">
        <v>45778</v>
      </c>
      <c r="B40" s="6">
        <v>27.05</v>
      </c>
      <c r="C40" s="6">
        <v>46.2</v>
      </c>
      <c r="D40" s="6">
        <v>11432.74</v>
      </c>
      <c r="E40" s="6">
        <v>64.45</v>
      </c>
    </row>
    <row r="41" spans="1:5" x14ac:dyDescent="0.3">
      <c r="A41" s="5">
        <v>45809</v>
      </c>
      <c r="B41" s="6">
        <v>27</v>
      </c>
      <c r="C41" s="6">
        <v>46.88</v>
      </c>
      <c r="D41" s="6">
        <v>12041</v>
      </c>
      <c r="E41" s="6">
        <v>71.44</v>
      </c>
    </row>
    <row r="42" spans="1:5" x14ac:dyDescent="0.3">
      <c r="A42" s="5">
        <v>45839</v>
      </c>
      <c r="B42" s="6">
        <v>28.8</v>
      </c>
      <c r="C42" s="6">
        <v>51.75</v>
      </c>
      <c r="D42" s="6">
        <v>15450.65</v>
      </c>
      <c r="E42" s="6">
        <v>71.040000000000006</v>
      </c>
    </row>
    <row r="43" spans="1:5" x14ac:dyDescent="0.3">
      <c r="A43" s="5">
        <v>45870</v>
      </c>
      <c r="B43" s="6">
        <v>28.81</v>
      </c>
      <c r="C43" s="6">
        <v>54.19</v>
      </c>
      <c r="D43" s="6">
        <v>15669.9</v>
      </c>
      <c r="E43" s="6">
        <v>67.87</v>
      </c>
    </row>
    <row r="44" spans="1:5" x14ac:dyDescent="0.3">
      <c r="A44" s="5">
        <v>45901</v>
      </c>
      <c r="B44" s="6">
        <v>29.63</v>
      </c>
      <c r="C44" s="6">
        <v>57.13</v>
      </c>
      <c r="D44" s="6">
        <v>17172.09</v>
      </c>
      <c r="E44" s="6">
        <v>67.989999999999995</v>
      </c>
    </row>
    <row r="45" spans="1:5" x14ac:dyDescent="0.3">
      <c r="A45" s="5">
        <v>45931</v>
      </c>
      <c r="B45" s="6">
        <v>29.65</v>
      </c>
      <c r="C45" s="6">
        <v>56.8</v>
      </c>
      <c r="D45" s="6">
        <v>18411.060000000001</v>
      </c>
      <c r="E45" s="6">
        <v>64.540000000000006</v>
      </c>
    </row>
    <row r="46" spans="1:5" x14ac:dyDescent="0.3">
      <c r="A46" s="5">
        <v>45962</v>
      </c>
      <c r="B46" s="6">
        <v>29.15</v>
      </c>
      <c r="C46" s="6">
        <v>56.5</v>
      </c>
      <c r="D46" s="6">
        <v>18796</v>
      </c>
      <c r="E46" s="6">
        <v>63.8</v>
      </c>
    </row>
    <row r="47" spans="1:5" x14ac:dyDescent="0.3">
      <c r="A47" s="5">
        <v>45992</v>
      </c>
      <c r="B47" s="6">
        <v>29.08</v>
      </c>
      <c r="C47" s="6">
        <v>55.75</v>
      </c>
      <c r="D47" s="6">
        <v>15672.83</v>
      </c>
      <c r="E47" s="6">
        <v>62.54</v>
      </c>
    </row>
  </sheetData>
  <phoneticPr fontId="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8"/>
  <sheetViews>
    <sheetView topLeftCell="A26" workbookViewId="0">
      <selection sqref="A1:J1"/>
    </sheetView>
  </sheetViews>
  <sheetFormatPr defaultRowHeight="16.5" x14ac:dyDescent="0.3"/>
  <cols>
    <col min="1" max="1" width="12" customWidth="1"/>
    <col min="2" max="5" width="22" customWidth="1"/>
    <col min="7" max="7" width="20" customWidth="1"/>
    <col min="8" max="8" width="13" customWidth="1"/>
    <col min="9" max="9" width="28" customWidth="1"/>
    <col min="10" max="10" width="17" customWidth="1"/>
  </cols>
  <sheetData>
    <row r="1" spans="1:10" ht="20.25" x14ac:dyDescent="0.3">
      <c r="A1" s="17" t="s">
        <v>313</v>
      </c>
      <c r="B1" s="17"/>
      <c r="C1" s="17"/>
      <c r="D1" s="17"/>
      <c r="E1" s="17"/>
      <c r="F1" s="17"/>
      <c r="G1" s="17"/>
      <c r="H1" s="17"/>
      <c r="I1" s="17"/>
      <c r="J1" s="17"/>
    </row>
    <row r="3" spans="1:10" ht="33" x14ac:dyDescent="0.3">
      <c r="A3" s="2" t="s">
        <v>86</v>
      </c>
      <c r="B3" s="2" t="s">
        <v>314</v>
      </c>
      <c r="C3" s="2" t="s">
        <v>315</v>
      </c>
      <c r="D3" s="2" t="s">
        <v>316</v>
      </c>
      <c r="E3" s="2" t="s">
        <v>317</v>
      </c>
      <c r="G3" s="12" t="s">
        <v>179</v>
      </c>
      <c r="H3" s="12" t="s">
        <v>318</v>
      </c>
      <c r="I3" s="12" t="s">
        <v>319</v>
      </c>
      <c r="J3" s="12" t="s">
        <v>320</v>
      </c>
    </row>
    <row r="4" spans="1:10" x14ac:dyDescent="0.3">
      <c r="A4" s="7">
        <v>44652</v>
      </c>
      <c r="B4" s="9">
        <f>'15_시장데이터'!B3/'15_시장데이터'!B2-1</f>
        <v>3.2672112018669708E-2</v>
      </c>
      <c r="C4" s="9">
        <f>'15_시장데이터'!C3/'15_시장데이터'!C2-1</f>
        <v>2.8833551769331667E-2</v>
      </c>
      <c r="D4" s="9">
        <f>'15_시장데이터'!D3/'15_시장데이터'!D2-1</f>
        <v>-7.136267763764359E-2</v>
      </c>
      <c r="E4" s="9">
        <f>'15_시장데이터'!E3/'15_시장데이터'!E2-1</f>
        <v>-0.1080597014925373</v>
      </c>
      <c r="G4" t="s">
        <v>321</v>
      </c>
      <c r="H4" t="s">
        <v>322</v>
      </c>
      <c r="I4" t="s">
        <v>323</v>
      </c>
      <c r="J4" s="13">
        <v>-0.20013718747279946</v>
      </c>
    </row>
    <row r="5" spans="1:10" x14ac:dyDescent="0.3">
      <c r="A5" s="7">
        <v>44682</v>
      </c>
      <c r="B5" s="9">
        <f>'15_시장데이터'!B4/'15_시장데이터'!B3-1</f>
        <v>4.5197740112994378E-2</v>
      </c>
      <c r="C5" s="9">
        <f>'15_시장데이터'!C4/'15_시장데이터'!C3-1</f>
        <v>3.6687898089171833E-2</v>
      </c>
      <c r="D5" s="9">
        <f>'15_시장데이터'!D4/'15_시장데이터'!D3-1</f>
        <v>0.10693702956896178</v>
      </c>
      <c r="E5" s="9">
        <f>'15_시장데이터'!E4/'15_시장데이터'!E3-1</f>
        <v>8.3763625932300689E-2</v>
      </c>
      <c r="G5" t="s">
        <v>324</v>
      </c>
      <c r="H5" t="s">
        <v>322</v>
      </c>
      <c r="I5" t="s">
        <v>325</v>
      </c>
      <c r="J5" s="13">
        <v>-7.1848739495798286E-2</v>
      </c>
    </row>
    <row r="6" spans="1:10" x14ac:dyDescent="0.3">
      <c r="A6" s="7">
        <v>44713</v>
      </c>
      <c r="B6" s="9">
        <f>'15_시장데이터'!B5/'15_시장데이터'!B4-1</f>
        <v>-2.4864864864864833E-2</v>
      </c>
      <c r="C6" s="9">
        <f>'15_시장데이터'!C5/'15_시장데이터'!C4-1</f>
        <v>-2.985991644138597E-2</v>
      </c>
      <c r="D6" s="9">
        <f>'15_시장데이터'!D5/'15_시장데이터'!D4-1</f>
        <v>-0.13572924620111348</v>
      </c>
      <c r="E6" s="9">
        <f>'15_시장데이터'!E5/'15_시장데이터'!E4-1</f>
        <v>8.2671607552496917E-2</v>
      </c>
      <c r="G6" t="s">
        <v>326</v>
      </c>
      <c r="H6" t="s">
        <v>322</v>
      </c>
      <c r="I6" t="s">
        <v>327</v>
      </c>
      <c r="J6" s="13">
        <v>-7.4994079757506896E-2</v>
      </c>
    </row>
    <row r="7" spans="1:10" x14ac:dyDescent="0.3">
      <c r="A7" s="7">
        <v>44743</v>
      </c>
      <c r="B7" s="9">
        <f>'15_시장데이터'!B6/'15_시장데이터'!B5-1</f>
        <v>-8.4035476718403501E-2</v>
      </c>
      <c r="C7" s="9">
        <f>'15_시장데이터'!C6/'15_시장데이터'!C5-1</f>
        <v>-0.10221659278024076</v>
      </c>
      <c r="D7" s="9">
        <f>'15_시장데이터'!D6/'15_시장데이터'!D5-1</f>
        <v>-0.21537880684841459</v>
      </c>
      <c r="E7" s="9">
        <f>'15_시장데이터'!E6/'15_시장데이터'!E5-1</f>
        <v>-8.7849401026811047E-2</v>
      </c>
      <c r="G7" t="s">
        <v>328</v>
      </c>
      <c r="H7" t="s">
        <v>329</v>
      </c>
      <c r="I7" t="s">
        <v>330</v>
      </c>
      <c r="J7" s="13">
        <v>0.227413403380056</v>
      </c>
    </row>
    <row r="8" spans="1:10" x14ac:dyDescent="0.3">
      <c r="A8" s="7">
        <v>44774</v>
      </c>
      <c r="B8" s="9">
        <f>'15_시장데이터'!B7/'15_시장데이터'!B6-1</f>
        <v>-9.5134350036310766E-2</v>
      </c>
      <c r="C8" s="9">
        <f>'15_시장데이터'!C7/'15_시장데이터'!C6-1</f>
        <v>-9.5231376975169257E-2</v>
      </c>
      <c r="D8" s="9">
        <f>'15_시장데이터'!D7/'15_시장데이터'!D6-1</f>
        <v>-0.15205624332748757</v>
      </c>
      <c r="E8" s="9">
        <f>'15_시장데이터'!E7/'15_시장데이터'!E6-1</f>
        <v>-0.10256410256410264</v>
      </c>
      <c r="G8" t="s">
        <v>331</v>
      </c>
      <c r="H8" t="s">
        <v>329</v>
      </c>
      <c r="I8" t="s">
        <v>332</v>
      </c>
      <c r="J8" s="13">
        <v>7.7665863396773727E-2</v>
      </c>
    </row>
    <row r="9" spans="1:10" x14ac:dyDescent="0.3">
      <c r="A9" s="7">
        <v>44805</v>
      </c>
      <c r="B9" s="9">
        <f>'15_시장데이터'!B8/'15_시장데이터'!B7-1</f>
        <v>-6.0995184590690199E-2</v>
      </c>
      <c r="C9" s="9">
        <f>'15_시장데이터'!C8/'15_시장데이터'!C7-1</f>
        <v>-6.9078434430063784E-2</v>
      </c>
      <c r="D9" s="9">
        <f>'15_시장데이터'!D8/'15_시장데이터'!D7-1</f>
        <v>2.5844888329312088E-2</v>
      </c>
      <c r="E9" s="9">
        <f>'15_시장데이터'!E8/'15_시장데이터'!E7-1</f>
        <v>-0.10642110502737678</v>
      </c>
    </row>
    <row r="10" spans="1:10" x14ac:dyDescent="0.3">
      <c r="A10" s="7">
        <v>44835</v>
      </c>
      <c r="B10" s="9">
        <f>'15_시장데이터'!B9/'15_시장데이터'!B8-1</f>
        <v>3.6467236467236486E-2</v>
      </c>
      <c r="C10" s="9">
        <f>'15_시장데이터'!C9/'15_시장데이터'!C8-1</f>
        <v>4.7906197654941307E-2</v>
      </c>
      <c r="D10" s="9">
        <f>'15_시장데이터'!D9/'15_시장데이터'!D8-1</f>
        <v>0.12410057095686855</v>
      </c>
      <c r="E10" s="9">
        <f>'15_시장데이터'!E9/'15_시장데이터'!E8-1</f>
        <v>3.9772727272727293E-2</v>
      </c>
      <c r="G10" s="18" t="s">
        <v>333</v>
      </c>
      <c r="H10" s="18"/>
      <c r="I10" s="18"/>
      <c r="J10" s="18"/>
    </row>
    <row r="11" spans="1:10" x14ac:dyDescent="0.3">
      <c r="A11" s="7">
        <v>44866</v>
      </c>
      <c r="B11" s="9">
        <f>'15_시장데이터'!B10/'15_시장데이터'!B9-1</f>
        <v>-7.2292468389224873E-2</v>
      </c>
      <c r="C11" s="9">
        <f>'15_시장데이터'!C10/'15_시장데이터'!C9-1</f>
        <v>-7.5607416879795442E-2</v>
      </c>
      <c r="D11" s="9">
        <f>'15_시장데이터'!D10/'15_시장데이터'!D9-1</f>
        <v>-0.21879000023458295</v>
      </c>
      <c r="E11" s="9">
        <f>'15_시장데이터'!E10/'15_시장데이터'!E9-1</f>
        <v>-2.046501660773592E-2</v>
      </c>
      <c r="G11" s="18"/>
      <c r="H11" s="18"/>
      <c r="I11" s="18"/>
      <c r="J11" s="18"/>
    </row>
    <row r="12" spans="1:10" x14ac:dyDescent="0.3">
      <c r="A12" s="7">
        <v>44896</v>
      </c>
      <c r="B12" s="9">
        <f>'15_시장데이터'!B11/'15_시장데이터'!B10-1</f>
        <v>-5.3629629629629583E-2</v>
      </c>
      <c r="C12" s="9">
        <f>'15_시장데이터'!C11/'15_시장데이터'!C10-1</f>
        <v>-1.76379042019712E-2</v>
      </c>
      <c r="D12" s="9">
        <f>'15_시장데이터'!D11/'15_시장데이터'!D10-1</f>
        <v>-4.3168755038693996E-2</v>
      </c>
      <c r="E12" s="9">
        <f>'15_시장데이터'!E11/'15_시장데이터'!E10-1</f>
        <v>-0.11485451761102605</v>
      </c>
      <c r="G12" s="18"/>
      <c r="H12" s="18"/>
      <c r="I12" s="18"/>
      <c r="J12" s="18"/>
    </row>
    <row r="13" spans="1:10" x14ac:dyDescent="0.3">
      <c r="A13" s="7">
        <v>44927</v>
      </c>
      <c r="B13" s="9">
        <f>'15_시장데이터'!B12/'15_시장데이터'!B11-1</f>
        <v>-9.7996242955541768E-2</v>
      </c>
      <c r="C13" s="9">
        <f>'15_시장데이터'!C12/'15_시장데이터'!C11-1</f>
        <v>-7.9211406442527665E-2</v>
      </c>
      <c r="D13" s="9">
        <f>'15_시장데이터'!D12/'15_시장데이터'!D11-1</f>
        <v>-0.27605243678215807</v>
      </c>
      <c r="E13" s="9">
        <f>'15_시장데이터'!E12/'15_시장데이터'!E11-1</f>
        <v>1.9525457241720279E-2</v>
      </c>
    </row>
    <row r="14" spans="1:10" x14ac:dyDescent="0.3">
      <c r="A14" s="7">
        <v>44958</v>
      </c>
      <c r="B14" s="9">
        <f>'15_시장데이터'!B13/'15_시장데이터'!B12-1</f>
        <v>-6.0742797639708468E-2</v>
      </c>
      <c r="C14" s="9">
        <f>'15_시장데이터'!C13/'15_시장데이터'!C12-1</f>
        <v>-7.1688013764098613E-2</v>
      </c>
      <c r="D14" s="9">
        <f>'15_시장데이터'!D13/'15_시장데이터'!D12-1</f>
        <v>-7.8196312069035434E-2</v>
      </c>
      <c r="E14" s="9">
        <f>'15_시장데이터'!E13/'15_시장데이터'!E12-1</f>
        <v>1.0909090909090313E-3</v>
      </c>
    </row>
    <row r="15" spans="1:10" x14ac:dyDescent="0.3">
      <c r="A15" s="7">
        <v>44986</v>
      </c>
      <c r="B15" s="9">
        <f>'15_시장데이터'!B14/'15_시장데이터'!B13-1</f>
        <v>8.2779009608277887E-2</v>
      </c>
      <c r="C15" s="9">
        <f>'15_시장데이터'!C14/'15_시장데이터'!C13-1</f>
        <v>8.1136738056013069E-2</v>
      </c>
      <c r="D15" s="9">
        <f>'15_시장데이터'!D14/'15_시장데이터'!D13-1</f>
        <v>0.53255704588206432</v>
      </c>
      <c r="E15" s="9">
        <f>'15_시장데이터'!E14/'15_시장데이터'!E13-1</f>
        <v>-5.0369294103402296E-2</v>
      </c>
    </row>
    <row r="16" spans="1:10" x14ac:dyDescent="0.3">
      <c r="A16" s="7">
        <v>45017</v>
      </c>
      <c r="B16" s="9">
        <f>'15_시장데이터'!B15/'15_시장데이터'!B14-1</f>
        <v>2.3890784982935065E-2</v>
      </c>
      <c r="C16" s="9">
        <f>'15_시장데이터'!C15/'15_시장데이터'!C14-1</f>
        <v>5.1238095238095305E-2</v>
      </c>
      <c r="D16" s="9">
        <f>'15_시장데이터'!D15/'15_시장데이터'!D14-1</f>
        <v>1.6456027205910662E-2</v>
      </c>
      <c r="E16" s="9">
        <f>'15_시장데이터'!E15/'15_시장데이터'!E14-1</f>
        <v>7.9178885630498463E-2</v>
      </c>
    </row>
    <row r="17" spans="1:5" x14ac:dyDescent="0.3">
      <c r="A17" s="7">
        <v>45047</v>
      </c>
      <c r="B17" s="9">
        <f>'15_시장데이터'!B16/'15_시장데이터'!B15-1</f>
        <v>-4.8000000000000043E-2</v>
      </c>
      <c r="C17" s="9">
        <f>'15_시장데이터'!C16/'15_시장데이터'!C15-1</f>
        <v>-6.9034245334299582E-2</v>
      </c>
      <c r="D17" s="9">
        <f>'15_시장데이터'!D16/'15_시장데이터'!D15-1</f>
        <v>-0.18900020016341212</v>
      </c>
      <c r="E17" s="9">
        <f>'15_시장데이터'!E16/'15_시장데이터'!E15-1</f>
        <v>-0.10834120982986772</v>
      </c>
    </row>
    <row r="18" spans="1:5" x14ac:dyDescent="0.3">
      <c r="A18" s="7">
        <v>45078</v>
      </c>
      <c r="B18" s="9">
        <f>'15_시장데이터'!B17/'15_시장데이터'!B16-1</f>
        <v>-7.2128851540616212E-2</v>
      </c>
      <c r="C18" s="9">
        <f>'15_시장데이터'!C17/'15_시장데이터'!C16-1</f>
        <v>-6.3838069287660559E-2</v>
      </c>
      <c r="D18" s="9">
        <f>'15_시장데이터'!D17/'15_시장데이터'!D16-1</f>
        <v>-0.13481042107520447</v>
      </c>
      <c r="E18" s="9">
        <f>'15_시장데이터'!E17/'15_시장데이터'!E16-1</f>
        <v>-8.3476878229759022E-3</v>
      </c>
    </row>
    <row r="19" spans="1:5" x14ac:dyDescent="0.3">
      <c r="A19" s="7">
        <v>45108</v>
      </c>
      <c r="B19" s="9">
        <f>'15_시장데이터'!B18/'15_시장데이터'!B17-1</f>
        <v>-3.9999999999999925E-2</v>
      </c>
      <c r="C19" s="9">
        <f>'15_시장데이터'!C18/'15_시장데이터'!C17-1</f>
        <v>-4.0956340956340931E-2</v>
      </c>
      <c r="D19" s="9">
        <f>'15_시장데이터'!D18/'15_시장데이터'!D17-1</f>
        <v>-0.10800517410217814</v>
      </c>
      <c r="E19" s="9">
        <f>'15_시장데이터'!E18/'15_시장데이터'!E17-1</f>
        <v>7.0416889363976498E-2</v>
      </c>
    </row>
    <row r="20" spans="1:5" x14ac:dyDescent="0.3">
      <c r="A20" s="7">
        <v>45139</v>
      </c>
      <c r="B20" s="9">
        <f>'15_시장데이터'!B19/'15_시장데이터'!B18-1</f>
        <v>6.5251572327043927E-2</v>
      </c>
      <c r="C20" s="9">
        <f>'15_시장데이터'!C19/'15_시장데이터'!C18-1</f>
        <v>9.2564491654021142E-2</v>
      </c>
      <c r="D20" s="9">
        <f>'15_시장데이터'!D19/'15_시장데이터'!D18-1</f>
        <v>0.20484012184188849</v>
      </c>
      <c r="E20" s="9">
        <f>'15_시장데이터'!E19/'15_시장데이터'!E18-1</f>
        <v>7.5396330046186621E-2</v>
      </c>
    </row>
    <row r="21" spans="1:5" x14ac:dyDescent="0.3">
      <c r="A21" s="7">
        <v>45170</v>
      </c>
      <c r="B21" s="9">
        <f>'15_시장데이터'!B20/'15_시장데이터'!B19-1</f>
        <v>9.7785977859778495E-2</v>
      </c>
      <c r="C21" s="9">
        <f>'15_시장데이터'!C20/'15_시장데이터'!C19-1</f>
        <v>0.10615079365079372</v>
      </c>
      <c r="D21" s="9">
        <f>'15_시장데이터'!D20/'15_시장데이터'!D19-1</f>
        <v>0.26190244114703454</v>
      </c>
      <c r="E21" s="9">
        <f>'15_시장데이터'!E20/'15_시장데이터'!E19-1</f>
        <v>8.7869994196169365E-2</v>
      </c>
    </row>
    <row r="22" spans="1:5" x14ac:dyDescent="0.3">
      <c r="A22" s="7">
        <v>45200</v>
      </c>
      <c r="B22" s="9">
        <f>'15_시장데이터'!B21/'15_시장데이터'!B20-1</f>
        <v>6.3865546218486724E-3</v>
      </c>
      <c r="C22" s="9">
        <f>'15_시장데이터'!C21/'15_시장데이터'!C20-1</f>
        <v>2.4753363228699587E-2</v>
      </c>
      <c r="D22" s="9">
        <f>'15_시장데이터'!D21/'15_시장데이터'!D20-1</f>
        <v>7.0523293624986216E-2</v>
      </c>
      <c r="E22" s="9">
        <f>'15_시장데이터'!E21/'15_시장데이터'!E20-1</f>
        <v>-3.3290653008962945E-2</v>
      </c>
    </row>
    <row r="23" spans="1:5" x14ac:dyDescent="0.3">
      <c r="A23" s="7">
        <v>45231</v>
      </c>
      <c r="B23" s="9">
        <f>'15_시장데이터'!B22/'15_시장데이터'!B21-1</f>
        <v>0</v>
      </c>
      <c r="C23" s="9">
        <f>'15_시장데이터'!C22/'15_시장데이터'!C21-1</f>
        <v>1.4178190092770881E-2</v>
      </c>
      <c r="D23" s="9">
        <f>'15_시장데이터'!D22/'15_시장데이터'!D21-1</f>
        <v>4.5523038537037097E-2</v>
      </c>
      <c r="E23" s="9">
        <f>'15_시장데이터'!E22/'15_시장데이터'!E21-1</f>
        <v>-8.4547461368653432E-2</v>
      </c>
    </row>
    <row r="24" spans="1:5" x14ac:dyDescent="0.3">
      <c r="A24" s="7">
        <v>45261</v>
      </c>
      <c r="B24" s="9">
        <f>'15_시장데이터'!B23/'15_시장데이터'!B22-1</f>
        <v>7.4482297929191699E-2</v>
      </c>
      <c r="C24" s="9">
        <f>'15_시장데이터'!C23/'15_시장데이터'!C22-1</f>
        <v>6.5757680358992099E-2</v>
      </c>
      <c r="D24" s="9">
        <f>'15_시장데이터'!D23/'15_시장데이터'!D22-1</f>
        <v>0.16709367740663383</v>
      </c>
      <c r="E24" s="9">
        <f>'15_시장데이터'!E23/'15_시장데이터'!E22-1</f>
        <v>-6.4022184711839958E-2</v>
      </c>
    </row>
    <row r="25" spans="1:5" x14ac:dyDescent="0.3">
      <c r="A25" s="7">
        <v>45292</v>
      </c>
      <c r="B25" s="9">
        <f>'15_시장데이터'!B24/'15_시장데이터'!B23-1</f>
        <v>-3.4504196456325853E-2</v>
      </c>
      <c r="C25" s="9">
        <f>'15_시장데이터'!C24/'15_시장데이터'!C23-1</f>
        <v>-4.7449392712550553E-2</v>
      </c>
      <c r="D25" s="9">
        <f>'15_시장데이터'!D24/'15_시장데이터'!D23-1</f>
        <v>-0.22384809998268296</v>
      </c>
      <c r="E25" s="9">
        <f>'15_시장데이터'!E24/'15_시장데이터'!E23-1</f>
        <v>3.2075228648718479E-2</v>
      </c>
    </row>
    <row r="26" spans="1:5" x14ac:dyDescent="0.3">
      <c r="A26" s="7">
        <v>45323</v>
      </c>
      <c r="B26" s="9">
        <f>'15_시장데이터'!B25/'15_시장데이터'!B24-1</f>
        <v>3.0264005151320106E-2</v>
      </c>
      <c r="C26" s="9">
        <f>'15_시장데이터'!C25/'15_시장데이터'!C24-1</f>
        <v>3.0601836110166758E-3</v>
      </c>
      <c r="D26" s="9">
        <f>'15_시장데이터'!D25/'15_시장데이터'!D24-1</f>
        <v>6.3848037548466019E-2</v>
      </c>
      <c r="E26" s="9">
        <f>'15_시장데이터'!E25/'15_시장데이터'!E24-1</f>
        <v>4.1937094358462268E-2</v>
      </c>
    </row>
    <row r="27" spans="1:5" x14ac:dyDescent="0.3">
      <c r="A27" s="7">
        <v>45352</v>
      </c>
      <c r="B27" s="9">
        <f>'15_시장데이터'!B26/'15_시장데이터'!B25-1</f>
        <v>3.125E-2</v>
      </c>
      <c r="C27" s="9">
        <f>'15_시장데이터'!C26/'15_시장데이터'!C25-1</f>
        <v>5.0847457627118731E-2</v>
      </c>
      <c r="D27" s="9">
        <f>'15_시장데이터'!D26/'15_시장데이터'!D25-1</f>
        <v>0.24246225773883423</v>
      </c>
      <c r="E27" s="9">
        <f>'15_시장데이터'!E26/'15_시장데이터'!E25-1</f>
        <v>2.3119310014374506E-2</v>
      </c>
    </row>
    <row r="28" spans="1:5" x14ac:dyDescent="0.3">
      <c r="A28" s="7">
        <v>45383</v>
      </c>
      <c r="B28" s="9">
        <f>'15_시장데이터'!B27/'15_시장데이터'!B26-1</f>
        <v>0</v>
      </c>
      <c r="C28" s="9">
        <f>'15_시장데이터'!C27/'15_시장데이터'!C26-1</f>
        <v>-1.6129032258064502E-2</v>
      </c>
      <c r="D28" s="9">
        <f>'15_시장데이터'!D27/'15_시장데이터'!D26-1</f>
        <v>-0.15799121536256577</v>
      </c>
      <c r="E28" s="9">
        <f>'15_시장데이터'!E27/'15_시장데이터'!E26-1</f>
        <v>5.3038285914998262E-2</v>
      </c>
    </row>
    <row r="29" spans="1:5" x14ac:dyDescent="0.3">
      <c r="A29" s="7">
        <v>45413</v>
      </c>
      <c r="B29" s="9">
        <f>'15_시장데이터'!B28/'15_시장데이터'!B27-1</f>
        <v>0</v>
      </c>
      <c r="C29" s="9">
        <f>'15_시장데이터'!C28/'15_시장데이터'!C27-1</f>
        <v>1.6393442622950838E-2</v>
      </c>
      <c r="D29" s="9">
        <f>'15_시장데이터'!D28/'15_시장데이터'!D27-1</f>
        <v>0.1348662296276284</v>
      </c>
      <c r="E29" s="9">
        <f>'15_시장데이터'!E28/'15_시장데이터'!E27-1</f>
        <v>-9.1060707138092001E-2</v>
      </c>
    </row>
    <row r="30" spans="1:5" x14ac:dyDescent="0.3">
      <c r="A30" s="7">
        <v>45444</v>
      </c>
      <c r="B30" s="9">
        <f>'15_시장데이터'!B29/'15_시장데이터'!B28-1</f>
        <v>-3.0303030303030276E-2</v>
      </c>
      <c r="C30" s="9">
        <f>'15_시장데이터'!C29/'15_시장데이터'!C28-1</f>
        <v>-3.2258064516129004E-2</v>
      </c>
      <c r="D30" s="9">
        <f>'15_시장데이터'!D29/'15_시장데이터'!D28-1</f>
        <v>-7.8628303690439383E-2</v>
      </c>
      <c r="E30" s="9">
        <f>'15_시장데이터'!E29/'15_시장데이터'!E28-1</f>
        <v>6.1162079510703737E-3</v>
      </c>
    </row>
    <row r="31" spans="1:5" x14ac:dyDescent="0.3">
      <c r="A31" s="7">
        <v>45474</v>
      </c>
      <c r="B31" s="9">
        <f>'15_시장데이터'!B30/'15_시장데이터'!B29-1</f>
        <v>0</v>
      </c>
      <c r="C31" s="9">
        <f>'15_시장데이터'!C30/'15_시장데이터'!C29-1</f>
        <v>0</v>
      </c>
      <c r="D31" s="9">
        <f>'15_시장데이터'!D30/'15_시장데이터'!D29-1</f>
        <v>-9.9031695800741781E-2</v>
      </c>
      <c r="E31" s="9">
        <f>'15_시장데이터'!E30/'15_시장데이터'!E29-1</f>
        <v>3.5258358662614064E-2</v>
      </c>
    </row>
    <row r="32" spans="1:5" x14ac:dyDescent="0.3">
      <c r="A32" s="7">
        <v>45505</v>
      </c>
      <c r="B32" s="9">
        <f>'15_시장데이터'!B31/'15_시장데이터'!B30-1</f>
        <v>-3.125E-2</v>
      </c>
      <c r="C32" s="9">
        <f>'15_시장데이터'!C31/'15_시장데이터'!C30-1</f>
        <v>-1.6666666666666718E-2</v>
      </c>
      <c r="D32" s="9">
        <f>'15_시장데이터'!D31/'15_시장데이터'!D30-1</f>
        <v>-4.2058518230180364E-2</v>
      </c>
      <c r="E32" s="9">
        <f>'15_시장데이터'!E31/'15_시장데이터'!E30-1</f>
        <v>-5.6253669994128064E-2</v>
      </c>
    </row>
    <row r="33" spans="1:5" x14ac:dyDescent="0.3">
      <c r="A33" s="7">
        <v>45536</v>
      </c>
      <c r="B33" s="9">
        <f>'15_시장데이터'!B32/'15_시장데이터'!B31-1</f>
        <v>-3.2258064516129004E-2</v>
      </c>
      <c r="C33" s="9">
        <f>'15_시장데이터'!C32/'15_시장데이터'!C31-1</f>
        <v>-5.084745762711862E-2</v>
      </c>
      <c r="D33" s="9">
        <f>'15_시장데이터'!D32/'15_시장데이터'!D31-1</f>
        <v>-5.4031942927228016E-2</v>
      </c>
      <c r="E33" s="9">
        <f>'15_시장데이터'!E32/'15_시장데이터'!E31-1</f>
        <v>-7.8894972623195669E-2</v>
      </c>
    </row>
    <row r="34" spans="1:5" x14ac:dyDescent="0.3">
      <c r="A34" s="7">
        <v>45566</v>
      </c>
      <c r="B34" s="9">
        <f>'15_시장데이터'!B33/'15_시장데이터'!B32-1</f>
        <v>0</v>
      </c>
      <c r="C34" s="9">
        <f>'15_시장데이터'!C33/'15_시장데이터'!C32-1</f>
        <v>-3.5714285714285698E-2</v>
      </c>
      <c r="D34" s="9">
        <f>'15_시장데이터'!D33/'15_시장데이터'!D32-1</f>
        <v>-3.8362272326027735E-2</v>
      </c>
      <c r="E34" s="9">
        <f>'15_시장데이터'!E33/'15_시장데이터'!E32-1</f>
        <v>2.1750878141042929E-2</v>
      </c>
    </row>
    <row r="35" spans="1:5" x14ac:dyDescent="0.3">
      <c r="A35" s="7">
        <v>45597</v>
      </c>
      <c r="B35" s="9">
        <f>'15_시장데이터'!B34/'15_시장데이터'!B33-1</f>
        <v>-3.3333333333333326E-2</v>
      </c>
      <c r="C35" s="9">
        <f>'15_시장데이터'!C34/'15_시장데이터'!C33-1</f>
        <v>-7.407407407407407E-2</v>
      </c>
      <c r="D35" s="9">
        <f>'15_시장데이터'!D34/'15_시장데이터'!D33-1</f>
        <v>-0.13301543695861762</v>
      </c>
      <c r="E35" s="9">
        <f>'15_시장데이터'!E34/'15_시장데이터'!E33-1</f>
        <v>-1.69245008594473E-2</v>
      </c>
    </row>
    <row r="36" spans="1:5" x14ac:dyDescent="0.3">
      <c r="A36" s="7">
        <v>45627</v>
      </c>
      <c r="B36" s="9">
        <f>'15_시장데이터'!B35/'15_시장데이터'!B34-1</f>
        <v>-3.4482758620689613E-2</v>
      </c>
      <c r="C36" s="9">
        <f>'15_시장데이터'!C35/'15_시장데이터'!C34-1</f>
        <v>-7.999999999999996E-2</v>
      </c>
      <c r="D36" s="9">
        <f>'15_시장데이터'!D35/'15_시장데이터'!D34-1</f>
        <v>-0.18083652057725896</v>
      </c>
      <c r="E36" s="9">
        <f>'15_시장데이터'!E35/'15_시장데이터'!E34-1</f>
        <v>-6.5904505716206652E-3</v>
      </c>
    </row>
    <row r="37" spans="1:5" x14ac:dyDescent="0.3">
      <c r="A37" s="7">
        <v>45658</v>
      </c>
      <c r="B37" s="9">
        <f>'15_시장데이터'!B36/'15_시장데이터'!B35-1</f>
        <v>-7.1428571428571397E-2</v>
      </c>
      <c r="C37" s="9">
        <f>'15_시장데이터'!C36/'15_시장데이터'!C35-1</f>
        <v>0</v>
      </c>
      <c r="D37" s="9">
        <f>'15_시장데이터'!D36/'15_시장데이터'!D35-1</f>
        <v>-0.20756184567905767</v>
      </c>
      <c r="E37" s="9">
        <f>'15_시장데이터'!E36/'15_시장데이터'!E35-1</f>
        <v>7.3246682913620242E-2</v>
      </c>
    </row>
    <row r="38" spans="1:5" x14ac:dyDescent="0.3">
      <c r="A38" s="7">
        <v>45689</v>
      </c>
      <c r="B38" s="9">
        <f>'15_시장데이터'!B37/'15_시장데이터'!B36-1</f>
        <v>3.8461538461538547E-2</v>
      </c>
      <c r="C38" s="9">
        <f>'15_시장데이터'!C37/'15_시장데이터'!C36-1</f>
        <v>0</v>
      </c>
      <c r="D38" s="9">
        <f>'15_시장데이터'!D37/'15_시장데이터'!D36-1</f>
        <v>0.28213862402506007</v>
      </c>
      <c r="E38" s="9">
        <f>'15_시장데이터'!E37/'15_시장데이터'!E36-1</f>
        <v>-4.8315882427147683E-2</v>
      </c>
    </row>
    <row r="39" spans="1:5" x14ac:dyDescent="0.3">
      <c r="A39" s="7">
        <v>45717</v>
      </c>
      <c r="B39" s="9">
        <f>'15_시장데이터'!B38/'15_시장데이터'!B37-1</f>
        <v>1.4074074074074128E-2</v>
      </c>
      <c r="C39" s="9">
        <f>'15_시장데이터'!C38/'15_시장데이터'!C37-1</f>
        <v>2.043478260869569E-2</v>
      </c>
      <c r="D39" s="9">
        <f>'15_시장데이터'!D38/'15_시장데이터'!D37-1</f>
        <v>0.18387887229487476</v>
      </c>
      <c r="E39" s="9">
        <f>'15_시장데이터'!E38/'15_시장데이터'!E37-1</f>
        <v>-3.5922587486744373E-2</v>
      </c>
    </row>
    <row r="40" spans="1:5" x14ac:dyDescent="0.3">
      <c r="A40" s="7">
        <v>45748</v>
      </c>
      <c r="B40" s="9">
        <f>'15_시장데이터'!B39/'15_시장데이터'!B38-1</f>
        <v>-1.3878743608473298E-2</v>
      </c>
      <c r="C40" s="9">
        <f>'15_시장데이터'!C39/'15_시장데이터'!C38-1</f>
        <v>-2.0025564550489983E-2</v>
      </c>
      <c r="D40" s="9">
        <f>'15_시장데이터'!D39/'15_시장데이터'!D38-1</f>
        <v>0.10892199626125865</v>
      </c>
      <c r="E40" s="9">
        <f>'15_시장데이터'!E39/'15_시장데이터'!E38-1</f>
        <v>-6.3247628213942142E-2</v>
      </c>
    </row>
    <row r="41" spans="1:5" x14ac:dyDescent="0.3">
      <c r="A41" s="7">
        <v>45778</v>
      </c>
      <c r="B41" s="9">
        <f>'15_시장데이터'!B40/'15_시장데이터'!B39-1</f>
        <v>1.8518518518517713E-3</v>
      </c>
      <c r="C41" s="9">
        <f>'15_시장데이터'!C40/'15_시장데이터'!C39-1</f>
        <v>4.3478260869564966E-3</v>
      </c>
      <c r="D41" s="9">
        <f>'15_시장데이터'!D40/'15_시장데이터'!D39-1</f>
        <v>-0.10150130420055536</v>
      </c>
      <c r="E41" s="9">
        <f>'15_시장데이터'!E40/'15_시장데이터'!E39-1</f>
        <v>-5.401438426537486E-2</v>
      </c>
    </row>
    <row r="42" spans="1:5" x14ac:dyDescent="0.3">
      <c r="A42" s="7">
        <v>45809</v>
      </c>
      <c r="B42" s="9">
        <f>'15_시장데이터'!B41/'15_시장데이터'!B40-1</f>
        <v>-1.848428835489857E-3</v>
      </c>
      <c r="C42" s="9">
        <f>'15_시장데이터'!C41/'15_시장데이터'!C40-1</f>
        <v>1.4718614718614687E-2</v>
      </c>
      <c r="D42" s="9">
        <f>'15_시장데이터'!D41/'15_시장데이터'!D40-1</f>
        <v>5.320334408024685E-2</v>
      </c>
      <c r="E42" s="9">
        <f>'15_시장데이터'!E41/'15_시장데이터'!E40-1</f>
        <v>0.10845616757176102</v>
      </c>
    </row>
    <row r="43" spans="1:5" x14ac:dyDescent="0.3">
      <c r="A43" s="7">
        <v>45839</v>
      </c>
      <c r="B43" s="9">
        <f>'15_시장데이터'!B42/'15_시장데이터'!B41-1</f>
        <v>6.6666666666666652E-2</v>
      </c>
      <c r="C43" s="9">
        <f>'15_시장데이터'!C42/'15_시장데이터'!C41-1</f>
        <v>0.10388225255972694</v>
      </c>
      <c r="D43" s="9">
        <f>'15_시장데이터'!D42/'15_시장데이터'!D41-1</f>
        <v>0.28317000249148738</v>
      </c>
      <c r="E43" s="9">
        <f>'15_시장데이터'!E42/'15_시장데이터'!E41-1</f>
        <v>-5.5991041433369748E-3</v>
      </c>
    </row>
    <row r="44" spans="1:5" x14ac:dyDescent="0.3">
      <c r="A44" s="7">
        <v>45870</v>
      </c>
      <c r="B44" s="9">
        <f>'15_시장데이터'!B43/'15_시장데이터'!B42-1</f>
        <v>3.4722222222205446E-4</v>
      </c>
      <c r="C44" s="9">
        <f>'15_시장데이터'!C43/'15_시장데이터'!C42-1</f>
        <v>4.7149758454106294E-2</v>
      </c>
      <c r="D44" s="9">
        <f>'15_시장데이터'!D43/'15_시장데이터'!D42-1</f>
        <v>1.4190341506667981E-2</v>
      </c>
      <c r="E44" s="9">
        <f>'15_시장데이터'!E43/'15_시장데이터'!E42-1</f>
        <v>-4.4622747747747771E-2</v>
      </c>
    </row>
    <row r="45" spans="1:5" x14ac:dyDescent="0.3">
      <c r="A45" s="7">
        <v>45901</v>
      </c>
      <c r="B45" s="9">
        <f>'15_시장데이터'!B44/'15_시장데이터'!B43-1</f>
        <v>2.8462339465463282E-2</v>
      </c>
      <c r="C45" s="9">
        <f>'15_시장데이터'!C44/'15_시장데이터'!C43-1</f>
        <v>5.4253552315925546E-2</v>
      </c>
      <c r="D45" s="9">
        <f>'15_시장데이터'!D44/'15_시장데이터'!D43-1</f>
        <v>9.586468324622377E-2</v>
      </c>
      <c r="E45" s="9">
        <f>'15_시장데이터'!E44/'15_시장데이터'!E43-1</f>
        <v>1.7680860468540782E-3</v>
      </c>
    </row>
    <row r="46" spans="1:5" x14ac:dyDescent="0.3">
      <c r="A46" s="7">
        <v>45931</v>
      </c>
      <c r="B46" s="9">
        <f>'15_시장데이터'!B45/'15_시장데이터'!B44-1</f>
        <v>6.7499156260542037E-4</v>
      </c>
      <c r="C46" s="9">
        <f>'15_시장데이터'!C45/'15_시장데이터'!C44-1</f>
        <v>-5.7762996674252109E-3</v>
      </c>
      <c r="D46" s="9">
        <f>'15_시장데이터'!D45/'15_시장데이터'!D44-1</f>
        <v>7.2150215844431376E-2</v>
      </c>
      <c r="E46" s="9">
        <f>'15_시장데이터'!E45/'15_시장데이터'!E44-1</f>
        <v>-5.0742756287689206E-2</v>
      </c>
    </row>
    <row r="47" spans="1:5" x14ac:dyDescent="0.3">
      <c r="A47" s="7">
        <v>45962</v>
      </c>
      <c r="B47" s="9">
        <f>'15_시장데이터'!B46/'15_시장데이터'!B45-1</f>
        <v>-1.6863406408094472E-2</v>
      </c>
      <c r="C47" s="9">
        <f>'15_시장데이터'!C46/'15_시장데이터'!C45-1</f>
        <v>-5.2816901408450079E-3</v>
      </c>
      <c r="D47" s="9">
        <f>'15_시장데이터'!D46/'15_시장데이터'!D45-1</f>
        <v>2.0908084596975796E-2</v>
      </c>
      <c r="E47" s="9">
        <f>'15_시장데이터'!E46/'15_시장데이터'!E45-1</f>
        <v>-1.1465757669662402E-2</v>
      </c>
    </row>
    <row r="48" spans="1:5" x14ac:dyDescent="0.3">
      <c r="A48" s="7">
        <v>45992</v>
      </c>
      <c r="B48" s="9">
        <f>'15_시장데이터'!B47/'15_시장데이터'!B46-1</f>
        <v>-2.4013722126929871E-3</v>
      </c>
      <c r="C48" s="9">
        <f>'15_시장데이터'!C47/'15_시장데이터'!C46-1</f>
        <v>-1.3274336283185861E-2</v>
      </c>
      <c r="D48" s="9">
        <f>'15_시장데이터'!D47/'15_시장데이터'!D46-1</f>
        <v>-0.16616141732283463</v>
      </c>
      <c r="E48" s="9">
        <f>'15_시장데이터'!E47/'15_시장데이터'!E46-1</f>
        <v>-1.9749216300940398E-2</v>
      </c>
    </row>
  </sheetData>
  <mergeCells count="2">
    <mergeCell ref="A1:J1"/>
    <mergeCell ref="G10:J12"/>
  </mergeCells>
  <phoneticPr fontId="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8"/>
  <sheetViews>
    <sheetView tabSelected="1" topLeftCell="A8" workbookViewId="0">
      <selection activeCell="C31" sqref="C31"/>
    </sheetView>
  </sheetViews>
  <sheetFormatPr defaultRowHeight="16.5" x14ac:dyDescent="0.3"/>
  <cols>
    <col min="1" max="1" width="20" customWidth="1"/>
    <col min="2" max="2" width="17" customWidth="1"/>
    <col min="3" max="3" width="22" customWidth="1"/>
    <col min="4" max="4" width="16" customWidth="1"/>
    <col min="5" max="6" width="20" customWidth="1"/>
    <col min="7" max="7" width="34" customWidth="1"/>
  </cols>
  <sheetData>
    <row r="1" spans="1:8" ht="20.25" x14ac:dyDescent="0.3">
      <c r="A1" s="17" t="s">
        <v>334</v>
      </c>
      <c r="B1" s="17"/>
      <c r="C1" s="17"/>
      <c r="D1" s="17"/>
      <c r="E1" s="17"/>
      <c r="F1" s="17"/>
      <c r="G1" s="17"/>
      <c r="H1" s="17"/>
    </row>
    <row r="3" spans="1:8" ht="33" x14ac:dyDescent="0.3">
      <c r="A3" s="2" t="s">
        <v>335</v>
      </c>
      <c r="B3" s="2" t="s">
        <v>336</v>
      </c>
      <c r="C3" s="2" t="s">
        <v>337</v>
      </c>
      <c r="D3" s="2" t="s">
        <v>338</v>
      </c>
      <c r="E3" s="2" t="s">
        <v>339</v>
      </c>
      <c r="F3" s="2" t="s">
        <v>340</v>
      </c>
      <c r="G3" s="2" t="s">
        <v>341</v>
      </c>
    </row>
    <row r="4" spans="1:8" x14ac:dyDescent="0.3">
      <c r="A4" t="s">
        <v>342</v>
      </c>
      <c r="B4" s="1">
        <v>0</v>
      </c>
      <c r="C4" s="15">
        <f>MIN(B12:B23)</f>
        <v>7027068.2160705365</v>
      </c>
      <c r="D4">
        <f>COUNTIF(B12:B23,"&lt;"&amp;'05_재무입력'!$B$9)</f>
        <v>1</v>
      </c>
      <c r="E4" s="15">
        <f>B23</f>
        <v>7027068.2160705365</v>
      </c>
      <c r="F4" s="15">
        <f>ABS('13_Need 진단'!$H$13)*B4</f>
        <v>0</v>
      </c>
      <c r="G4" t="str">
        <f>IF(D4=0,"Floor 충족",IF(B4=1,"시장위험 제거 후 구조적 부족 잔존","Floor 미달 "&amp;D4&amp;"개월"))</f>
        <v>Floor 미달 1개월</v>
      </c>
    </row>
    <row r="5" spans="1:8" x14ac:dyDescent="0.3">
      <c r="A5" t="s">
        <v>343</v>
      </c>
      <c r="B5" s="1">
        <v>0.3</v>
      </c>
      <c r="C5" s="15">
        <f>MIN(C12:C23)</f>
        <v>9126861.4512493759</v>
      </c>
      <c r="D5">
        <f>COUNTIF(C12:C23,"&lt;"&amp;'05_재무입력'!$B$9)</f>
        <v>1</v>
      </c>
      <c r="E5" s="15">
        <f>C23</f>
        <v>9126861.4512493759</v>
      </c>
      <c r="F5" s="15">
        <f>ABS('13_Need 진단'!$H$13)*B5</f>
        <v>2099793.2351788389</v>
      </c>
      <c r="G5" t="str">
        <f>IF(D5=0,"Floor 충족",IF(B5=1,"시장위험 제거 후 구조적 부족 잔존","Floor 미달 "&amp;D5&amp;"개월"))</f>
        <v>Floor 미달 1개월</v>
      </c>
    </row>
    <row r="6" spans="1:8" x14ac:dyDescent="0.3">
      <c r="A6" t="s">
        <v>344</v>
      </c>
      <c r="B6" s="1">
        <v>0.5</v>
      </c>
      <c r="C6" s="15">
        <f>MIN(D12:D23)</f>
        <v>10526723.608035268</v>
      </c>
      <c r="D6">
        <f>COUNTIF(D12:D23,"&lt;"&amp;'05_재무입력'!$B$9)</f>
        <v>0</v>
      </c>
      <c r="E6" s="15">
        <f>D23</f>
        <v>10526723.608035268</v>
      </c>
      <c r="F6" s="15">
        <f>ABS('13_Need 진단'!$H$13)*B6</f>
        <v>3499655.3919647317</v>
      </c>
      <c r="G6" t="str">
        <f>IF(D6=0,"Floor 충족",IF(B6=1,"시장위험 제거 후 구조적 부족 잔존","Floor 미달 "&amp;D6&amp;"개월"))</f>
        <v>Floor 충족</v>
      </c>
    </row>
    <row r="7" spans="1:8" x14ac:dyDescent="0.3">
      <c r="A7" t="s">
        <v>345</v>
      </c>
      <c r="B7" s="1">
        <v>0.7</v>
      </c>
      <c r="C7" s="15">
        <f>MIN(E12:E23)</f>
        <v>11926585.764821161</v>
      </c>
      <c r="D7">
        <f>COUNTIF(E12:E23,"&lt;"&amp;'05_재무입력'!$B$9)</f>
        <v>0</v>
      </c>
      <c r="E7" s="15">
        <f>E23</f>
        <v>11926585.764821161</v>
      </c>
      <c r="F7" s="15">
        <f>ABS('13_Need 진단'!$H$13)*B7</f>
        <v>4899517.5487506241</v>
      </c>
      <c r="G7" t="str">
        <f>IF(D7=0,"Floor 충족",IF(B7=1,"시장위험 제거 후 구조적 부족 잔존","Floor 미달 "&amp;D7&amp;"개월"))</f>
        <v>Floor 충족</v>
      </c>
    </row>
    <row r="8" spans="1:8" x14ac:dyDescent="0.3">
      <c r="A8" t="s">
        <v>346</v>
      </c>
      <c r="B8" s="1">
        <v>1</v>
      </c>
      <c r="C8" s="15">
        <f>MIN(F12:F23)</f>
        <v>14026379</v>
      </c>
      <c r="D8">
        <f>COUNTIF(F12:F23,"&lt;"&amp;'05_재무입력'!$B$9)</f>
        <v>0</v>
      </c>
      <c r="E8" s="15">
        <f>F23</f>
        <v>14026379</v>
      </c>
      <c r="F8" s="15">
        <f>ABS('13_Need 진단'!$H$13)*B8</f>
        <v>6999310.7839294635</v>
      </c>
      <c r="G8" t="str">
        <f>IF(D8=0,"Floor 충족",IF(B8=1,"시장위험 제거 후 구조적 부족 잔존","Floor 미달 "&amp;D8&amp;"개월"))</f>
        <v>Floor 충족</v>
      </c>
    </row>
    <row r="11" spans="1:8" x14ac:dyDescent="0.3">
      <c r="A11" s="12" t="s">
        <v>86</v>
      </c>
      <c r="B11" s="12" t="s">
        <v>342</v>
      </c>
      <c r="C11" s="12" t="s">
        <v>343</v>
      </c>
      <c r="D11" s="12" t="s">
        <v>344</v>
      </c>
      <c r="E11" s="12" t="s">
        <v>345</v>
      </c>
      <c r="F11" s="12" t="s">
        <v>346</v>
      </c>
    </row>
    <row r="12" spans="1:8" x14ac:dyDescent="0.3">
      <c r="A12" t="str">
        <f>'13_Need 진단'!A2</f>
        <v>1월</v>
      </c>
      <c r="B12" s="15">
        <f>'13_Need 진단'!B2+'13_Need 진단'!H2*(1-0)</f>
        <v>20592314.657894094</v>
      </c>
      <c r="C12" s="15">
        <f>'13_Need 진단'!B2+'13_Need 진단'!H2*(1-0.3)</f>
        <v>20828295.360525865</v>
      </c>
      <c r="D12" s="15">
        <f>'13_Need 진단'!B2+'13_Need 진단'!H2*(1-0.5)</f>
        <v>20985615.828947045</v>
      </c>
      <c r="E12" s="15">
        <f>'13_Need 진단'!B2+'13_Need 진단'!H2*(1-0.7)</f>
        <v>21142936.297368228</v>
      </c>
      <c r="F12" s="15">
        <f>'13_Need 진단'!B2+'13_Need 진단'!H2*(1-1)</f>
        <v>21378917</v>
      </c>
    </row>
    <row r="13" spans="1:8" x14ac:dyDescent="0.3">
      <c r="A13" t="str">
        <f>'13_Need 진단'!A3</f>
        <v>2월</v>
      </c>
      <c r="B13" s="15">
        <f>'13_Need 진단'!B3+'13_Need 진단'!H3*(1-0)</f>
        <v>21044648.365013249</v>
      </c>
      <c r="C13" s="15">
        <f>'13_Need 진단'!B3+'13_Need 진단'!H3*(1-0.3)</f>
        <v>21463944.455509275</v>
      </c>
      <c r="D13" s="15">
        <f>'13_Need 진단'!B3+'13_Need 진단'!H3*(1-0.5)</f>
        <v>21743475.182506625</v>
      </c>
      <c r="E13" s="15">
        <f>'13_Need 진단'!B3+'13_Need 진단'!H3*(1-0.7)</f>
        <v>22023005.909503974</v>
      </c>
      <c r="F13" s="15">
        <f>'13_Need 진단'!B3+'13_Need 진단'!H3*(1-1)</f>
        <v>22442302</v>
      </c>
    </row>
    <row r="14" spans="1:8" x14ac:dyDescent="0.3">
      <c r="A14" t="str">
        <f>'13_Need 진단'!A4</f>
        <v>3월</v>
      </c>
      <c r="B14" s="15">
        <f>'13_Need 진단'!B4+'13_Need 진단'!H4*(1-0)</f>
        <v>18687109.304017633</v>
      </c>
      <c r="C14" s="15">
        <f>'13_Need 진단'!B4+'13_Need 진단'!H4*(1-0.3)</f>
        <v>19212057.612812344</v>
      </c>
      <c r="D14" s="15">
        <f>'13_Need 진단'!B4+'13_Need 진단'!H4*(1-0.5)</f>
        <v>19562023.152008817</v>
      </c>
      <c r="E14" s="15">
        <f>'13_Need 진단'!B4+'13_Need 진단'!H4*(1-0.7)</f>
        <v>19911988.691205289</v>
      </c>
      <c r="F14" s="15">
        <f>'13_Need 진단'!B4+'13_Need 진단'!H4*(1-1)</f>
        <v>20436937</v>
      </c>
    </row>
    <row r="15" spans="1:8" x14ac:dyDescent="0.3">
      <c r="A15" t="str">
        <f>'13_Need 진단'!A5</f>
        <v>4월</v>
      </c>
      <c r="B15" s="15">
        <f>'13_Need 진단'!B5+'13_Need 진단'!H5*(1-0)</f>
        <v>18963891.961911727</v>
      </c>
      <c r="C15" s="15">
        <f>'13_Need 진단'!B5+'13_Need 진단'!H5*(1-0.3)</f>
        <v>19724820.973338209</v>
      </c>
      <c r="D15" s="15">
        <f>'13_Need 진단'!B5+'13_Need 진단'!H5*(1-0.5)</f>
        <v>20232106.980955865</v>
      </c>
      <c r="E15" s="15">
        <f>'13_Need 진단'!B5+'13_Need 진단'!H5*(1-0.7)</f>
        <v>20739392.988573518</v>
      </c>
      <c r="F15" s="15">
        <f>'13_Need 진단'!B5+'13_Need 진단'!H5*(1-1)</f>
        <v>21500322</v>
      </c>
    </row>
    <row r="16" spans="1:8" x14ac:dyDescent="0.3">
      <c r="A16" t="str">
        <f>'13_Need 진단'!A6</f>
        <v>5월</v>
      </c>
      <c r="B16" s="15">
        <f>'13_Need 진단'!B6+'13_Need 진단'!H6*(1-0)</f>
        <v>19416225.669030886</v>
      </c>
      <c r="C16" s="15">
        <f>'13_Need 진단'!B6+'13_Need 진단'!H6*(1-0.3)</f>
        <v>20360470.068321619</v>
      </c>
      <c r="D16" s="15">
        <f>'13_Need 진단'!B6+'13_Need 진단'!H6*(1-0.5)</f>
        <v>20989966.334515441</v>
      </c>
      <c r="E16" s="15">
        <f>'13_Need 진단'!B6+'13_Need 진단'!H6*(1-0.7)</f>
        <v>21619462.600709267</v>
      </c>
      <c r="F16" s="15">
        <f>'13_Need 진단'!B6+'13_Need 진단'!H6*(1-1)</f>
        <v>22563707</v>
      </c>
    </row>
    <row r="17" spans="1:7" x14ac:dyDescent="0.3">
      <c r="A17" t="str">
        <f>'13_Need 진단'!A7</f>
        <v>6월</v>
      </c>
      <c r="B17" s="15">
        <f>'13_Need 진단'!B7+'13_Need 진단'!H7*(1-0)</f>
        <v>13503385.978260852</v>
      </c>
      <c r="C17" s="15">
        <f>'13_Need 진단'!B7+'13_Need 진단'!H7*(1-0.3)</f>
        <v>14603656.834782597</v>
      </c>
      <c r="D17" s="15">
        <f>'13_Need 진단'!B7+'13_Need 진단'!H7*(1-0.5)</f>
        <v>15337170.739130426</v>
      </c>
      <c r="E17" s="15">
        <f>'13_Need 진단'!B7+'13_Need 진단'!H7*(1-0.7)</f>
        <v>16070684.643478256</v>
      </c>
      <c r="F17" s="15">
        <f>'13_Need 진단'!B7+'13_Need 진단'!H7*(1-1)</f>
        <v>17170955.5</v>
      </c>
    </row>
    <row r="18" spans="1:7" x14ac:dyDescent="0.3">
      <c r="A18" t="str">
        <f>'13_Need 진단'!A8</f>
        <v>7월</v>
      </c>
      <c r="B18" s="15">
        <f>'13_Need 진단'!B8+'13_Need 진단'!H8*(1-0)</f>
        <v>13948082.76592936</v>
      </c>
      <c r="C18" s="15">
        <f>'13_Need 진단'!B8+'13_Need 진단'!H8*(1-0.3)</f>
        <v>15233960.086150553</v>
      </c>
      <c r="D18" s="15">
        <f>'13_Need 진단'!B8+'13_Need 진단'!H8*(1-0.5)</f>
        <v>16091211.63296468</v>
      </c>
      <c r="E18" s="15">
        <f>'13_Need 진단'!B8+'13_Need 진단'!H8*(1-0.7)</f>
        <v>16948463.179778807</v>
      </c>
      <c r="F18" s="15">
        <f>'13_Need 진단'!B8+'13_Need 진단'!H8*(1-1)</f>
        <v>18234340.5</v>
      </c>
    </row>
    <row r="19" spans="1:7" x14ac:dyDescent="0.3">
      <c r="A19" t="str">
        <f>'13_Need 진단'!A9</f>
        <v>8월</v>
      </c>
      <c r="B19" s="15">
        <f>'13_Need 진단'!B9+'13_Need 진단'!H9*(1-0)</f>
        <v>14400416.473048519</v>
      </c>
      <c r="C19" s="15">
        <f>'13_Need 진단'!B9+'13_Need 진단'!H9*(1-0.3)</f>
        <v>15869609.181133963</v>
      </c>
      <c r="D19" s="15">
        <f>'13_Need 진단'!B9+'13_Need 진단'!H9*(1-0.5)</f>
        <v>16849070.986524258</v>
      </c>
      <c r="E19" s="15">
        <f>'13_Need 진단'!B9+'13_Need 진단'!H9*(1-0.7)</f>
        <v>17828532.791914556</v>
      </c>
      <c r="F19" s="15">
        <f>'13_Need 진단'!B9+'13_Need 진단'!H9*(1-1)</f>
        <v>19297725.5</v>
      </c>
    </row>
    <row r="20" spans="1:7" x14ac:dyDescent="0.3">
      <c r="A20" t="str">
        <f>'13_Need 진단'!A10</f>
        <v>9월</v>
      </c>
      <c r="B20" s="15">
        <f>'13_Need 진단'!B10+'13_Need 진단'!H10*(1-0)</f>
        <v>11874963.282278486</v>
      </c>
      <c r="C20" s="15">
        <f>'13_Need 진단'!B10+'13_Need 진단'!H10*(1-0.3)</f>
        <v>13500182.447594941</v>
      </c>
      <c r="D20" s="15">
        <f>'13_Need 진단'!B10+'13_Need 진단'!H10*(1-0.5)</f>
        <v>14583661.891139243</v>
      </c>
      <c r="E20" s="15">
        <f>'13_Need 진단'!B10+'13_Need 진단'!H10*(1-0.7)</f>
        <v>15667141.334683545</v>
      </c>
      <c r="F20" s="15">
        <f>'13_Need 진단'!B10+'13_Need 진단'!H10*(1-1)</f>
        <v>17292360.5</v>
      </c>
    </row>
    <row r="21" spans="1:7" x14ac:dyDescent="0.3">
      <c r="A21" t="str">
        <f>'13_Need 진단'!A11</f>
        <v>10월</v>
      </c>
      <c r="B21" s="15">
        <f>'13_Need 진단'!B11+'13_Need 진단'!H11*(1-0)</f>
        <v>12319660.069946995</v>
      </c>
      <c r="C21" s="15">
        <f>'13_Need 진단'!B11+'13_Need 진단'!H11*(1-0.3)</f>
        <v>14130485.698962897</v>
      </c>
      <c r="D21" s="15">
        <f>'13_Need 진단'!B11+'13_Need 진단'!H11*(1-0.5)</f>
        <v>15337702.784973498</v>
      </c>
      <c r="E21" s="15">
        <f>'13_Need 진단'!B11+'13_Need 진단'!H11*(1-0.7)</f>
        <v>16544919.870984098</v>
      </c>
      <c r="F21" s="15">
        <f>'13_Need 진단'!B11+'13_Need 진단'!H11*(1-1)</f>
        <v>18355745.5</v>
      </c>
    </row>
    <row r="22" spans="1:7" x14ac:dyDescent="0.3">
      <c r="A22" t="str">
        <f>'13_Need 진단'!A12</f>
        <v>11월</v>
      </c>
      <c r="B22" s="15">
        <f>'13_Need 진단'!B12+'13_Need 진단'!H12*(1-0)</f>
        <v>12771993.777066153</v>
      </c>
      <c r="C22" s="15">
        <f>'13_Need 진단'!B12+'13_Need 진단'!H12*(1-0.3)</f>
        <v>14766134.793946307</v>
      </c>
      <c r="D22" s="15">
        <f>'13_Need 진단'!B12+'13_Need 진단'!H12*(1-0.5)</f>
        <v>16095562.138533076</v>
      </c>
      <c r="E22" s="15">
        <f>'13_Need 진단'!B12+'13_Need 진단'!H12*(1-0.7)</f>
        <v>17424989.483119845</v>
      </c>
      <c r="F22" s="15">
        <f>'13_Need 진단'!B12+'13_Need 진단'!H12*(1-1)</f>
        <v>19419130.5</v>
      </c>
    </row>
    <row r="23" spans="1:7" x14ac:dyDescent="0.3">
      <c r="A23" t="str">
        <f>'13_Need 진단'!A13</f>
        <v>12월</v>
      </c>
      <c r="B23" s="15">
        <f>'13_Need 진단'!B13+'13_Need 진단'!H13*(1-0)</f>
        <v>7027068.2160705365</v>
      </c>
      <c r="C23" s="15">
        <f>'13_Need 진단'!B13+'13_Need 진단'!H13*(1-0.3)</f>
        <v>9126861.4512493759</v>
      </c>
      <c r="D23" s="15">
        <f>'13_Need 진단'!B13+'13_Need 진단'!H13*(1-0.5)</f>
        <v>10526723.608035268</v>
      </c>
      <c r="E23" s="15">
        <f>'13_Need 진단'!B13+'13_Need 진단'!H13*(1-0.7)</f>
        <v>11926585.764821161</v>
      </c>
      <c r="F23" s="15">
        <f>'13_Need 진단'!B13+'13_Need 진단'!H13*(1-1)</f>
        <v>14026379</v>
      </c>
    </row>
    <row r="26" spans="1:7" x14ac:dyDescent="0.3">
      <c r="A26" s="18" t="s">
        <v>347</v>
      </c>
      <c r="B26" s="18"/>
      <c r="C26" s="18"/>
      <c r="D26" s="18"/>
      <c r="E26" s="18"/>
      <c r="F26" s="18"/>
      <c r="G26" s="18"/>
    </row>
    <row r="27" spans="1:7" x14ac:dyDescent="0.3">
      <c r="A27" s="18"/>
      <c r="B27" s="18"/>
      <c r="C27" s="18"/>
      <c r="D27" s="18"/>
      <c r="E27" s="18"/>
      <c r="F27" s="18"/>
      <c r="G27" s="18"/>
    </row>
    <row r="28" spans="1:7" x14ac:dyDescent="0.3">
      <c r="A28" s="18"/>
      <c r="B28" s="18"/>
      <c r="C28" s="18"/>
      <c r="D28" s="18"/>
      <c r="E28" s="18"/>
      <c r="F28" s="18"/>
      <c r="G28" s="18"/>
    </row>
  </sheetData>
  <mergeCells count="2">
    <mergeCell ref="A1:H1"/>
    <mergeCell ref="A26:G28"/>
  </mergeCells>
  <phoneticPr fontId="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9"/>
  <sheetViews>
    <sheetView workbookViewId="0">
      <selection activeCell="C31" sqref="C31"/>
    </sheetView>
  </sheetViews>
  <sheetFormatPr defaultRowHeight="16.5" x14ac:dyDescent="0.3"/>
  <cols>
    <col min="1" max="1" width="22" customWidth="1"/>
    <col min="2" max="2" width="14" customWidth="1"/>
    <col min="3" max="6" width="23" customWidth="1"/>
    <col min="7" max="7" width="42" customWidth="1"/>
  </cols>
  <sheetData>
    <row r="1" spans="1:8" ht="20.25" x14ac:dyDescent="0.3">
      <c r="A1" s="17" t="s">
        <v>348</v>
      </c>
      <c r="B1" s="17"/>
      <c r="C1" s="17"/>
      <c r="D1" s="17"/>
      <c r="E1" s="17"/>
      <c r="F1" s="17"/>
      <c r="G1" s="17"/>
      <c r="H1" s="17"/>
    </row>
    <row r="3" spans="1:8" x14ac:dyDescent="0.3">
      <c r="A3" s="10" t="s">
        <v>349</v>
      </c>
      <c r="B3" s="10" t="s">
        <v>350</v>
      </c>
    </row>
    <row r="4" spans="1:8" x14ac:dyDescent="0.3">
      <c r="A4" t="s">
        <v>351</v>
      </c>
      <c r="B4" s="16">
        <v>0</v>
      </c>
    </row>
    <row r="5" spans="1:8" x14ac:dyDescent="0.3">
      <c r="A5" t="s">
        <v>119</v>
      </c>
      <c r="B5" s="15">
        <f>'05_재무입력'!B9</f>
        <v>10500000</v>
      </c>
    </row>
    <row r="8" spans="1:8" x14ac:dyDescent="0.3">
      <c r="A8" s="2" t="s">
        <v>335</v>
      </c>
      <c r="B8" s="2" t="s">
        <v>352</v>
      </c>
      <c r="C8" s="2" t="s">
        <v>353</v>
      </c>
      <c r="D8" s="2" t="s">
        <v>354</v>
      </c>
      <c r="E8" s="2" t="s">
        <v>355</v>
      </c>
      <c r="F8" s="2" t="s">
        <v>356</v>
      </c>
      <c r="G8" s="2" t="s">
        <v>357</v>
      </c>
    </row>
    <row r="9" spans="1:8" x14ac:dyDescent="0.3">
      <c r="A9" t="str">
        <f>'17_보호전략'!A4</f>
        <v>무보호</v>
      </c>
      <c r="B9" s="1">
        <f>'17_보호전략'!B4</f>
        <v>0</v>
      </c>
      <c r="C9" s="15">
        <f>'17_보호전략'!C4</f>
        <v>7027068.2160705365</v>
      </c>
      <c r="D9" s="15">
        <f>C9+$B$4</f>
        <v>7027068.2160705365</v>
      </c>
      <c r="E9" s="15">
        <f>D9-$B$5</f>
        <v>-3472931.7839294635</v>
      </c>
      <c r="F9" s="15">
        <f>MAX(0,E9)</f>
        <v>0</v>
      </c>
      <c r="G9" t="str">
        <f>IF(E9&gt;0,"실제 Margin이 "&amp;TEXT(F9,"#,##0")&amp;" 이하이면 실행 가능",IF(E9=0,"Floor만 충족: Margin 여력 없음","현재 구조에서는 실행 불가"))</f>
        <v>현재 구조에서는 실행 불가</v>
      </c>
    </row>
    <row r="10" spans="1:8" x14ac:dyDescent="0.3">
      <c r="A10" t="str">
        <f>'17_보호전략'!A5</f>
        <v>부분보호 30%</v>
      </c>
      <c r="B10" s="1">
        <f>'17_보호전략'!B5</f>
        <v>0.3</v>
      </c>
      <c r="C10" s="15">
        <f>'17_보호전략'!C5</f>
        <v>9126861.4512493759</v>
      </c>
      <c r="D10" s="15">
        <f>C10+$B$4</f>
        <v>9126861.4512493759</v>
      </c>
      <c r="E10" s="15">
        <f>D10-$B$5</f>
        <v>-1373138.5487506241</v>
      </c>
      <c r="F10" s="15">
        <f>MAX(0,E10)</f>
        <v>0</v>
      </c>
      <c r="G10" t="str">
        <f>IF(E10&gt;0,"실제 Margin이 "&amp;TEXT(F10,"#,##0")&amp;" 이하이면 실행 가능",IF(E10=0,"Floor만 충족: Margin 여력 없음","현재 구조에서는 실행 불가"))</f>
        <v>현재 구조에서는 실행 불가</v>
      </c>
    </row>
    <row r="11" spans="1:8" x14ac:dyDescent="0.3">
      <c r="A11" t="str">
        <f>'17_보호전략'!A6</f>
        <v>균형보호 50%</v>
      </c>
      <c r="B11" s="1">
        <f>'17_보호전략'!B6</f>
        <v>0.5</v>
      </c>
      <c r="C11" s="15">
        <f>'17_보호전략'!C6</f>
        <v>10526723.608035268</v>
      </c>
      <c r="D11" s="15">
        <f>C11+$B$4</f>
        <v>10526723.608035268</v>
      </c>
      <c r="E11" s="15">
        <f>D11-$B$5</f>
        <v>26723.608035268262</v>
      </c>
      <c r="F11" s="15">
        <f>MAX(0,E11)</f>
        <v>26723.608035268262</v>
      </c>
      <c r="G11" t="str">
        <f>IF(E11&gt;0,"실제 Margin이 "&amp;TEXT(F11,"#,##0")&amp;" 이하이면 실행 가능",IF(E11=0,"Floor만 충족: Margin 여력 없음","현재 구조에서는 실행 불가"))</f>
        <v>실제 Margin이 26,724 이하이면 실행 가능</v>
      </c>
    </row>
    <row r="12" spans="1:8" x14ac:dyDescent="0.3">
      <c r="A12" t="str">
        <f>'17_보호전략'!A7</f>
        <v>안정성보호 70%</v>
      </c>
      <c r="B12" s="1">
        <f>'17_보호전략'!B7</f>
        <v>0.7</v>
      </c>
      <c r="C12" s="15">
        <f>'17_보호전략'!C7</f>
        <v>11926585.764821161</v>
      </c>
      <c r="D12" s="15">
        <f>C12+$B$4</f>
        <v>11926585.764821161</v>
      </c>
      <c r="E12" s="15">
        <f>D12-$B$5</f>
        <v>1426585.7648211606</v>
      </c>
      <c r="F12" s="15">
        <f>MAX(0,E12)</f>
        <v>1426585.7648211606</v>
      </c>
      <c r="G12" t="str">
        <f>IF(E12&gt;0,"실제 Margin이 "&amp;TEXT(F12,"#,##0")&amp;" 이하이면 실행 가능",IF(E12=0,"Floor만 충족: Margin 여력 없음","현재 구조에서는 실행 불가"))</f>
        <v>실제 Margin이 1,426,586 이하이면 실행 가능</v>
      </c>
    </row>
    <row r="13" spans="1:8" x14ac:dyDescent="0.3">
      <c r="A13" t="str">
        <f>'17_보호전략'!A8</f>
        <v>시장위험 100% 보호</v>
      </c>
      <c r="B13" s="1">
        <f>'17_보호전략'!B8</f>
        <v>1</v>
      </c>
      <c r="C13" s="15">
        <f>'17_보호전략'!C8</f>
        <v>14026379</v>
      </c>
      <c r="D13" s="15">
        <f>C13+$B$4</f>
        <v>14026379</v>
      </c>
      <c r="E13" s="15">
        <f>D13-$B$5</f>
        <v>3526379</v>
      </c>
      <c r="F13" s="15">
        <f>MAX(0,E13)</f>
        <v>3526379</v>
      </c>
      <c r="G13" t="str">
        <f>IF(E13&gt;0,"실제 Margin이 "&amp;TEXT(F13,"#,##0")&amp;" 이하이면 실행 가능",IF(E13=0,"Floor만 충족: Margin 여력 없음","현재 구조에서는 실행 불가"))</f>
        <v>실제 Margin이 3,526,379 이하이면 실행 가능</v>
      </c>
    </row>
    <row r="16" spans="1:8" x14ac:dyDescent="0.3">
      <c r="A16" s="18" t="s">
        <v>358</v>
      </c>
      <c r="B16" s="18"/>
      <c r="C16" s="18"/>
      <c r="D16" s="18"/>
      <c r="E16" s="18"/>
      <c r="F16" s="18"/>
      <c r="G16" s="18"/>
    </row>
    <row r="17" spans="1:7" x14ac:dyDescent="0.3">
      <c r="A17" s="18"/>
      <c r="B17" s="18"/>
      <c r="C17" s="18"/>
      <c r="D17" s="18"/>
      <c r="E17" s="18"/>
      <c r="F17" s="18"/>
      <c r="G17" s="18"/>
    </row>
    <row r="18" spans="1:7" x14ac:dyDescent="0.3">
      <c r="A18" s="18"/>
      <c r="B18" s="18"/>
      <c r="C18" s="18"/>
      <c r="D18" s="18"/>
      <c r="E18" s="18"/>
      <c r="F18" s="18"/>
      <c r="G18" s="18"/>
    </row>
    <row r="19" spans="1:7" x14ac:dyDescent="0.3">
      <c r="A19" s="18"/>
      <c r="B19" s="18"/>
      <c r="C19" s="18"/>
      <c r="D19" s="18"/>
      <c r="E19" s="18"/>
      <c r="F19" s="18"/>
      <c r="G19" s="18"/>
    </row>
  </sheetData>
  <mergeCells count="2">
    <mergeCell ref="A1:H1"/>
    <mergeCell ref="A16:G19"/>
  </mergeCells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5"/>
  <sheetViews>
    <sheetView workbookViewId="0">
      <selection sqref="A1:H1"/>
    </sheetView>
  </sheetViews>
  <sheetFormatPr defaultRowHeight="16.5" x14ac:dyDescent="0.3"/>
  <cols>
    <col min="1" max="1" width="19" customWidth="1"/>
    <col min="2" max="2" width="58" customWidth="1"/>
    <col min="4" max="8" width="18" customWidth="1"/>
  </cols>
  <sheetData>
    <row r="1" spans="1:8" ht="24" x14ac:dyDescent="0.3">
      <c r="A1" s="19" t="s">
        <v>359</v>
      </c>
      <c r="B1" s="19"/>
      <c r="C1" s="19"/>
      <c r="D1" s="19"/>
      <c r="E1" s="19"/>
      <c r="F1" s="19"/>
      <c r="G1" s="19"/>
      <c r="H1" s="19"/>
    </row>
    <row r="3" spans="1:8" x14ac:dyDescent="0.3">
      <c r="A3" s="10" t="s">
        <v>360</v>
      </c>
      <c r="B3" s="10" t="s">
        <v>361</v>
      </c>
      <c r="D3" s="20" t="s">
        <v>248</v>
      </c>
      <c r="E3" s="20"/>
      <c r="F3" s="20"/>
      <c r="G3" s="20"/>
      <c r="H3" s="20"/>
    </row>
    <row r="4" spans="1:8" x14ac:dyDescent="0.3">
      <c r="A4" s="3" t="s">
        <v>362</v>
      </c>
      <c r="B4" s="3" t="s">
        <v>363</v>
      </c>
      <c r="D4" s="21" t="s">
        <v>364</v>
      </c>
      <c r="E4" s="21"/>
      <c r="F4" s="21"/>
      <c r="G4" s="21"/>
      <c r="H4" s="21"/>
    </row>
    <row r="5" spans="1:8" x14ac:dyDescent="0.3">
      <c r="A5" s="3" t="s">
        <v>365</v>
      </c>
      <c r="B5" s="3" t="s">
        <v>366</v>
      </c>
      <c r="D5" s="21"/>
      <c r="E5" s="21"/>
      <c r="F5" s="21"/>
      <c r="G5" s="21"/>
      <c r="H5" s="21"/>
    </row>
    <row r="6" spans="1:8" x14ac:dyDescent="0.3">
      <c r="A6" s="3" t="s">
        <v>367</v>
      </c>
      <c r="B6" s="3" t="s">
        <v>368</v>
      </c>
      <c r="D6" s="21"/>
      <c r="E6" s="21"/>
      <c r="F6" s="21"/>
      <c r="G6" s="21"/>
      <c r="H6" s="21"/>
    </row>
    <row r="7" spans="1:8" x14ac:dyDescent="0.3">
      <c r="A7" s="3" t="s">
        <v>369</v>
      </c>
      <c r="B7" s="3" t="s">
        <v>370</v>
      </c>
      <c r="D7" s="21"/>
      <c r="E7" s="21"/>
      <c r="F7" s="21"/>
      <c r="G7" s="21"/>
      <c r="H7" s="21"/>
    </row>
    <row r="8" spans="1:8" x14ac:dyDescent="0.3">
      <c r="A8" s="3" t="s">
        <v>371</v>
      </c>
      <c r="B8" s="3" t="s">
        <v>372</v>
      </c>
      <c r="D8" s="21"/>
      <c r="E8" s="21"/>
      <c r="F8" s="21"/>
      <c r="G8" s="21"/>
      <c r="H8" s="21"/>
    </row>
    <row r="9" spans="1:8" x14ac:dyDescent="0.3">
      <c r="A9" s="3" t="s">
        <v>373</v>
      </c>
      <c r="B9" s="3" t="s">
        <v>374</v>
      </c>
      <c r="D9" s="21"/>
      <c r="E9" s="21"/>
      <c r="F9" s="21"/>
      <c r="G9" s="21"/>
      <c r="H9" s="21"/>
    </row>
    <row r="12" spans="1:8" x14ac:dyDescent="0.3">
      <c r="A12" s="22" t="s">
        <v>375</v>
      </c>
      <c r="B12" s="22"/>
      <c r="C12" s="22"/>
      <c r="D12" s="22"/>
      <c r="E12" s="22"/>
      <c r="F12" s="22"/>
      <c r="G12" s="22"/>
      <c r="H12" s="22"/>
    </row>
    <row r="13" spans="1:8" x14ac:dyDescent="0.3">
      <c r="A13" s="18" t="s">
        <v>376</v>
      </c>
      <c r="B13" s="18"/>
      <c r="C13" s="18"/>
      <c r="D13" s="18"/>
      <c r="E13" s="18"/>
      <c r="F13" s="18"/>
      <c r="G13" s="18"/>
      <c r="H13" s="18"/>
    </row>
    <row r="14" spans="1:8" x14ac:dyDescent="0.3">
      <c r="A14" s="18"/>
      <c r="B14" s="18"/>
      <c r="C14" s="18"/>
      <c r="D14" s="18"/>
      <c r="E14" s="18"/>
      <c r="F14" s="18"/>
      <c r="G14" s="18"/>
      <c r="H14" s="18"/>
    </row>
    <row r="15" spans="1:8" x14ac:dyDescent="0.3">
      <c r="A15" s="18"/>
      <c r="B15" s="18"/>
      <c r="C15" s="18"/>
      <c r="D15" s="18"/>
      <c r="E15" s="18"/>
      <c r="F15" s="18"/>
      <c r="G15" s="18"/>
      <c r="H15" s="18"/>
    </row>
    <row r="16" spans="1:8" x14ac:dyDescent="0.3">
      <c r="A16" s="18"/>
      <c r="B16" s="18"/>
      <c r="C16" s="18"/>
      <c r="D16" s="18"/>
      <c r="E16" s="18"/>
      <c r="F16" s="18"/>
      <c r="G16" s="18"/>
      <c r="H16" s="18"/>
    </row>
    <row r="19" spans="1:8" x14ac:dyDescent="0.3">
      <c r="A19" s="22" t="s">
        <v>377</v>
      </c>
      <c r="B19" s="22"/>
      <c r="C19" s="22"/>
      <c r="D19" s="22"/>
      <c r="E19" s="22"/>
      <c r="F19" s="22"/>
      <c r="G19" s="22"/>
      <c r="H19" s="22"/>
    </row>
    <row r="20" spans="1:8" x14ac:dyDescent="0.3">
      <c r="A20" s="11" t="s">
        <v>378</v>
      </c>
      <c r="B20" s="11" t="s">
        <v>379</v>
      </c>
    </row>
    <row r="21" spans="1:8" x14ac:dyDescent="0.3">
      <c r="A21" s="3">
        <v>1</v>
      </c>
      <c r="B21" s="3" t="s">
        <v>380</v>
      </c>
    </row>
    <row r="22" spans="1:8" x14ac:dyDescent="0.3">
      <c r="A22" s="3">
        <v>2</v>
      </c>
      <c r="B22" s="3" t="s">
        <v>381</v>
      </c>
    </row>
    <row r="23" spans="1:8" x14ac:dyDescent="0.3">
      <c r="A23" s="3">
        <v>3</v>
      </c>
      <c r="B23" s="3" t="s">
        <v>382</v>
      </c>
    </row>
    <row r="24" spans="1:8" x14ac:dyDescent="0.3">
      <c r="A24" s="3">
        <v>4</v>
      </c>
      <c r="B24" s="3" t="s">
        <v>383</v>
      </c>
    </row>
    <row r="25" spans="1:8" x14ac:dyDescent="0.3">
      <c r="A25" s="3">
        <v>5</v>
      </c>
      <c r="B25" s="3" t="s">
        <v>384</v>
      </c>
    </row>
  </sheetData>
  <mergeCells count="6">
    <mergeCell ref="A19:H19"/>
    <mergeCell ref="A1:H1"/>
    <mergeCell ref="D3:H3"/>
    <mergeCell ref="D4:H9"/>
    <mergeCell ref="A12:H12"/>
    <mergeCell ref="A13:H16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01_계약입력</vt:lpstr>
      <vt:lpstr>02_연료입력</vt:lpstr>
      <vt:lpstr>03_COA일정</vt:lpstr>
      <vt:lpstr>04_월별노출</vt:lpstr>
      <vt:lpstr>05_재무입력</vt:lpstr>
      <vt:lpstr>06_월별현금흐름</vt:lpstr>
      <vt:lpstr>07_영업손익입력</vt:lpstr>
      <vt:lpstr>08_항차비용</vt:lpstr>
      <vt:lpstr>09_고정운영비</vt:lpstr>
      <vt:lpstr>10_기준시장값</vt:lpstr>
      <vt:lpstr>11_시장시나리오</vt:lpstr>
      <vt:lpstr>12_월별시장충격</vt:lpstr>
      <vt:lpstr>13_Need 진단</vt:lpstr>
      <vt:lpstr>14_헤지상품매핑</vt:lpstr>
      <vt:lpstr>15_시장데이터</vt:lpstr>
      <vt:lpstr>16_역사변동분석</vt:lpstr>
      <vt:lpstr>17_보호전략</vt:lpstr>
      <vt:lpstr>18_Capacity</vt:lpstr>
      <vt:lpstr>19_프로젝트요약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주병무</cp:lastModifiedBy>
  <dcterms:modified xsi:type="dcterms:W3CDTF">2026-10-06T15:44:49Z</dcterms:modified>
</cp:coreProperties>
</file>