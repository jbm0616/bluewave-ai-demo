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6ec2742ad4f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대시보드" sheetId="1" r:id="R4cf356acb19e46d3"/>
    <x:sheet xmlns:r="http://schemas.openxmlformats.org/officeDocument/2006/relationships" name="01_입력및노출" sheetId="2" r:id="Rcf2d7a5757014612"/>
    <x:sheet xmlns:r="http://schemas.openxmlformats.org/officeDocument/2006/relationships" name="02_시장데이터" sheetId="3" r:id="R08450ed6cb9e4327"/>
    <x:sheet xmlns:r="http://schemas.openxmlformats.org/officeDocument/2006/relationships" name="03_역사경로분석" sheetId="4" r:id="R75f1f2d498d24ebb"/>
    <x:sheet xmlns:r="http://schemas.openxmlformats.org/officeDocument/2006/relationships" name="04_Need진단" sheetId="5" r:id="Ra448d9cafa724dc6"/>
    <x:sheet xmlns:r="http://schemas.openxmlformats.org/officeDocument/2006/relationships" name="05_보호우선순위" sheetId="6" r:id="R12634e73f087481c"/>
    <x:sheet xmlns:r="http://schemas.openxmlformats.org/officeDocument/2006/relationships" name="06_범위와고도화" sheetId="7" r:id="R6d83b812fc504549"/>
    <x:sheet xmlns:r="http://schemas.openxmlformats.org/officeDocument/2006/relationships" name="07_경영진입력" sheetId="8" r:id="R9830dc812df34a05"/>
    <x:sheet xmlns:r="http://schemas.openxmlformats.org/officeDocument/2006/relationships" name="08_신규계약전후" sheetId="9" r:id="Ra3660f7a93194c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%;[Red](0.0%);-"/>
    <x:numFmt numFmtId="202" formatCode="yyyy-mm"/>
    <x:numFmt numFmtId="203" formatCode="#,##0.00"/>
    <x:numFmt numFmtId="204" formatCode="#,##0;[Red](#,##0);-"/>
    <x:numFmt numFmtId="205" formatCode="$#,##0;[Red]($#,##0);-"/>
  </x:numFmts>
  <x:fonts count="1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i/>
      <x:sz val="11"/>
      <x:name val="Carlito"/>
    </x:font>
    <x:font>
      <x:b/>
      <x:sz val="11"/>
      <x:name val="Carlito"/>
    </x:font>
    <x:font>
      <x:sz val="11"/>
      <x:color rgb="FF0563C1"/>
      <x:name val="Carlito"/>
    </x:font>
    <x:font>
      <x:b/>
      <x:sz val="11"/>
      <x:color rgb="FF000000"/>
      <x:name val="Carlito"/>
    </x:font>
    <x:font>
      <x:i/>
      <x:sz val="11"/>
      <x:color rgb="FF1F4E78"/>
      <x:name val="Carlito"/>
    </x:font>
    <x:font>
      <x:sz val="11"/>
      <x:color rgb="FF1F1F1F"/>
      <x:name val="Carlito"/>
    </x:font>
    <x:font>
      <x:b/>
      <x:sz val="11"/>
      <x:color rgb="FF0000FF"/>
      <x:name val="Carlito"/>
    </x:font>
    <x:font>
      <x:b/>
      <x:sz val="11"/>
      <x:color rgb="FF008000"/>
      <x:name val="Carlito"/>
    </x:font>
    <x:font>
      <x:b/>
      <x:sz val="17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AF3F8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6">
    <x:border/>
    <x:border/>
    <x:border>
      <x:bottom style="thin">
        <x:color rgb="FFD9E1F2"/>
      </x:bottom>
    </x:border>
    <x:border>
      <x:bottom style="thin">
        <x:color rgb="FFD9E1F2"/>
      </x:bottom>
    </x:border>
    <x:border>
      <x:top style="thin">
        <x:color rgb="FF808080"/>
      </x:top>
    </x:border>
    <x:border>
      <x:top style="thin">
        <x:color rgb="FF808080"/>
      </x:top>
    </x:border>
  </x:borders>
  <x:cellStyleXfs count="1">
    <x:xf numFmtId="0" fontId="0" fillId="0" borderId="0"/>
  </x:cellStyleXfs>
  <x:cellXfs count="1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3" fontId="4" fillId="0" borderId="0" xfId="0" applyNumberFormat="1" applyFont="1" applyFill="1" applyBorder="1"/>
    <x:xf numFmtId="203" fontId="4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1" xfId="0" applyNumberFormat="1" applyFont="1" applyFill="1" applyBorder="1"/>
    <x:xf numFmtId="0" fontId="6" fillId="0" borderId="5" xfId="0" applyNumberFormat="1" applyFont="1" applyFill="1" applyBorder="1"/>
    <x:xf numFmtId="204" fontId="0" fillId="0" borderId="0" xfId="0" applyNumberFormat="1" applyFont="1" applyFill="1" applyBorder="1"/>
    <x:xf numFmtId="204" fontId="6" fillId="0" borderId="4" xfId="0" applyNumberFormat="1" applyFont="1" applyFill="1" applyBorder="1"/>
    <x:xf numFmtId="204" fontId="0" fillId="0" borderId="1" xfId="0" applyNumberFormat="1" applyFont="1" applyFill="1" applyBorder="1"/>
    <x:xf numFmtId="204" fontId="6" fillId="0" borderId="5" xfId="0" applyNumberFormat="1" applyFont="1" applyFill="1" applyBorder="1"/>
    <x:xf numFmtId="204" fontId="3" fillId="0" borderId="0" xfId="0" applyNumberFormat="1" applyFont="1" applyFill="1" applyBorder="1"/>
    <x:xf numFmtId="204" fontId="3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4" fillId="0" borderId="0" xfId="0" applyNumberFormat="1" applyFont="1" applyFill="1" applyBorder="1"/>
    <x:xf numFmtId="201" fontId="4" fillId="0" borderId="1" xfId="0" applyNumberFormat="1" applyFont="1" applyFill="1" applyBorder="1"/>
    <x:xf numFmtId="205" fontId="4" fillId="0" borderId="0" xfId="0" applyNumberFormat="1" applyFont="1" applyFill="1" applyBorder="1"/>
    <x:xf numFmtId="205" fontId="4" fillId="0" borderId="1" xfId="0" applyNumberFormat="1" applyFont="1" applyFill="1" applyBorder="1"/>
    <x:xf numFmtId="201" fontId="0" fillId="4" borderId="0" xfId="0" applyNumberFormat="1" applyFont="1" applyFill="1" applyBorder="1"/>
    <x:xf numFmtId="201" fontId="8" fillId="4" borderId="0" xfId="0" applyNumberFormat="1" applyFont="1" applyFill="1" applyBorder="1"/>
    <x:xf numFmtId="201" fontId="0" fillId="4" borderId="1" xfId="0" applyNumberFormat="1" applyFont="1" applyFill="1" applyBorder="1"/>
    <x:xf numFmtId="201" fontId="8" fillId="4" borderId="1" xfId="0" applyNumberFormat="1" applyFont="1" applyFill="1" applyBorder="1"/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201" fontId="6" fillId="4" borderId="0" xfId="0" applyNumberFormat="1" applyFont="1" applyFill="1" applyBorder="1"/>
    <x:xf numFmtId="201" fontId="6" fillId="4" borderId="1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6" fillId="4" borderId="0" xfId="0" applyNumberFormat="1" applyFont="1" applyFill="1" applyBorder="1" applyAlignment="1">
      <x:alignment wrapText="1"/>
    </x:xf>
    <x:xf numFmtId="205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1" fontId="6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201" fontId="11" fillId="8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wrapText="1"/>
    </x:xf>
    <x:xf numFmtId="205" fontId="0" fillId="7" borderId="0" xfId="0" applyNumberFormat="1" applyFont="1" applyFill="1" applyBorder="1"/>
    <x:xf numFmtId="201" fontId="0" fillId="7" borderId="0" xfId="0" applyNumberFormat="1" applyFont="1" applyFill="1" applyBorder="1"/>
    <x:xf numFmtId="0" fontId="6" fillId="7" borderId="0" xfId="0" applyNumberFormat="1" applyFont="1" applyFill="1" applyBorder="1"/>
    <x:xf numFmtId="205" fontId="6" fillId="7" borderId="0" xfId="0" applyNumberFormat="1" applyFont="1" applyFill="1" applyBorder="1"/>
    <x:xf numFmtId="201" fontId="6" fillId="7" borderId="0" xfId="0" applyNumberFormat="1" applyFont="1" applyFill="1" applyBorder="1"/>
    <x:xf numFmtId="205" fontId="12" fillId="7" borderId="0" xfId="0" applyNumberFormat="1" applyFont="1" applyFill="1" applyBorder="1"/>
    <x:xf numFmtId="201" fontId="12" fillId="7" borderId="0" xfId="0" applyNumberFormat="1" applyFont="1" applyFill="1" applyBorder="1"/>
    <x:xf numFmtId="0" fontId="12" fillId="7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2" fillId="6" borderId="2" xfId="0" applyNumberFormat="1" applyFont="1" applyFill="1" applyBorder="1" applyAlignment="1">
      <x:alignment horizontal="center" vertical="center" wrapText="1"/>
    </x:xf>
    <x:xf numFmtId="205" fontId="12" fillId="0" borderId="0" xfId="0" applyNumberFormat="1" applyFont="1" applyFill="1" applyBorder="1"/>
    <x:xf numFmtId="201" fontId="12" fillId="0" borderId="0" xfId="0" applyNumberFormat="1" applyFont="1" applyFill="1" applyBorder="1"/>
    <x:xf numFmtId="201" fontId="12" fillId="4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201" fontId="0" fillId="9" borderId="0" xfId="0" applyNumberFormat="1" applyFont="1" applyFill="1" applyBorder="1"/>
    <x:xf numFmtId="205" fontId="0" fillId="9" borderId="0" xfId="0" applyNumberFormat="1" applyFont="1" applyFill="1" applyBorder="1"/>
    <x:xf numFmtId="201" fontId="6" fillId="9" borderId="0" xfId="0" applyNumberFormat="1" applyFont="1" applyFill="1" applyBorder="1"/>
    <x:xf numFmtId="205" fontId="6" fillId="9" borderId="0" xfId="0" applyNumberFormat="1" applyFont="1" applyFill="1" applyBorder="1"/>
    <x:xf numFmtId="0" fontId="13" fillId="6" borderId="0" xfId="0" applyNumberFormat="1" applyFont="1" applyFill="1" applyBorder="1" applyAlignment="1">
      <x:alignment horizontal="left" vertical="center"/>
    </x:xf>
    <x:xf numFmtId="0" fontId="13" fillId="6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left" vertical="center"/>
    </x:xf>
    <x:xf numFmtId="0" fontId="12" fillId="0" borderId="0" xfId="0" applyNumberFormat="1" applyFont="1" applyFill="1" applyBorder="1"/>
    <x:xf numFmtId="201" fontId="0" fillId="9" borderId="0" xfId="0" applyNumberFormat="1" applyFont="1" applyFill="1" applyBorder="1" applyAlignment="1">
      <x:alignment wrapText="1"/>
    </x:xf>
    <x:xf numFmtId="205" fontId="0" fillId="9" borderId="0" xfId="0" applyNumberFormat="1" applyFont="1" applyFill="1" applyBorder="1" applyAlignment="1">
      <x:alignment wrapText="1"/>
    </x:xf>
    <x:xf numFmtId="201" fontId="6" fillId="9" borderId="0" xfId="0" applyNumberFormat="1" applyFont="1" applyFill="1" applyBorder="1" applyAlignment="1">
      <x:alignment wrapText="1"/>
    </x:xf>
    <x:xf numFmtId="205" fontId="6" fillId="9" borderId="0" xfId="0" applyNumberFormat="1" applyFont="1" applyFill="1" applyBorder="1" applyAlignment="1">
      <x:alignment wrapText="1"/>
    </x:xf>
    <x:xf numFmtId="205" fontId="12" fillId="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left" vertical="center"/>
    </x:xf>
    <x:xf numFmtId="0" fontId="2" fillId="7" borderId="2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left" vertical="center" wrapText="1"/>
    </x:xf>
    <x:xf numFmtId="205" fontId="0" fillId="7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/>
    </x:xf>
    <x:xf numFmtId="0" fontId="11" fillId="4" borderId="0" xfId="0" applyNumberFormat="1" applyFont="1" applyFill="1" applyBorder="1"/>
    <x:xf numFmtId="201" fontId="11" fillId="4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wrapText="1"/>
    </x:xf>
    <x:xf numFmtId="205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6" fillId="5" borderId="0" xfId="0" applyNumberFormat="1" applyFont="1" applyFill="1" applyBorder="1"/>
    <x:xf numFmtId="205" fontId="6" fillId="5" borderId="0" xfId="0" applyNumberFormat="1" applyFont="1" applyFill="1" applyBorder="1"/>
    <x:xf numFmtId="201" fontId="6" fillId="5" borderId="0" xfId="0" applyNumberFormat="1" applyFont="1" applyFill="1" applyBorder="1"/>
    <x:xf numFmtId="205" fontId="12" fillId="5" borderId="0" xfId="0" applyNumberFormat="1" applyFont="1" applyFill="1" applyBorder="1"/>
    <x:xf numFmtId="201" fontId="12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left" vertical="center"/>
    </x:xf>
    <x:xf numFmtId="0" fontId="13" fillId="2" borderId="0" xfId="0" applyNumberFormat="1" applyFont="1" applyFill="1" applyBorder="1"/>
    <x:xf numFmtId="0" fontId="2" fillId="5" borderId="0" xfId="0" applyNumberFormat="1" applyFont="1" applyFill="1" applyBorder="1" applyAlignment="1">
      <x:alignment horizontal="left" vertical="center"/>
    </x:xf>
    <x:xf numFmtId="0" fontId="2" fillId="5" borderId="2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 applyAlignment="1">
      <x:alignment horizontal="left" vertical="center" wrapText="1"/>
    </x:xf>
    <x:xf numFmtId="205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C00000"/>
      </x:font>
      <x:fill>
        <x:patternFill>
          <x:bgColor rgb="FFF4CCCC"/>
        </x:patternFill>
      </x:fill>
    </x:dxf>
    <x:dxf>
      <x:font>
        <x:color rgb="FF38761D"/>
      </x:font>
      <x:fill>
        <x:patternFill>
          <x:bgColor rgb="FFD9EAD3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38761D"/>
      </x:font>
      <x:fill>
        <x:patternFill>
          <x:bgColor rgb="FFD9EAD3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38761D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e7c515c5ad4cf6" /><Relationship Type="http://schemas.openxmlformats.org/officeDocument/2006/relationships/theme" Target="/xl/theme/theme1.xml" Id="Ree50464124344485" /><Relationship Type="http://schemas.openxmlformats.org/officeDocument/2006/relationships/sharedStrings" Target="/xl/sharedStrings.xml" Id="R9c9ae01102414f96" /><Relationship Type="http://schemas.openxmlformats.org/officeDocument/2006/relationships/worksheet" Target="/xl/worksheets/sheet1.xml" Id="R4cf356acb19e46d3" /><Relationship Type="http://schemas.openxmlformats.org/officeDocument/2006/relationships/worksheet" Target="/xl/worksheets/sheet2.xml" Id="Rcf2d7a5757014612" /><Relationship Type="http://schemas.openxmlformats.org/officeDocument/2006/relationships/worksheet" Target="/xl/worksheets/sheet3.xml" Id="R08450ed6cb9e4327" /><Relationship Type="http://schemas.openxmlformats.org/officeDocument/2006/relationships/worksheet" Target="/xl/worksheets/sheet4.xml" Id="R75f1f2d498d24ebb" /><Relationship Type="http://schemas.openxmlformats.org/officeDocument/2006/relationships/worksheet" Target="/xl/worksheets/sheet5.xml" Id="Ra448d9cafa724dc6" /><Relationship Type="http://schemas.openxmlformats.org/officeDocument/2006/relationships/worksheet" Target="/xl/worksheets/sheet6.xml" Id="R12634e73f087481c" /><Relationship Type="http://schemas.openxmlformats.org/officeDocument/2006/relationships/worksheet" Target="/xl/worksheets/sheet7.xml" Id="R6d83b812fc504549" /><Relationship Type="http://schemas.openxmlformats.org/officeDocument/2006/relationships/worksheet" Target="/xl/worksheets/sheet8.xml" Id="R9830dc812df34a05" /><Relationship Type="http://schemas.openxmlformats.org/officeDocument/2006/relationships/worksheet" Target="/xl/worksheets/sheet9.xml" Id="Ra3660f7a93194c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e61b3dc07b4ae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ad7906d8ce4400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P10 기여마진</c:v>
          </c:tx>
          <c:marker>
            <c:symbol val="none"/>
          </c:marker>
          <c:cat>
            <c:strRef>
              <c:f>'04_Need진단'!$A$19:$A$23</c:f>
              <c:strCache>
                <c:ptCount val="0"/>
              </c:strCache>
            </c:strRef>
          </c:cat>
          <c:val>
            <c:numRef>
              <c:f>'04_Need진단'!$B$19:$B$23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P90 기여마진</c:v>
          </c:tx>
          <c:marker>
            <c:symbol val="none"/>
          </c:marker>
          <c:cat>
            <c:strRef>
              <c:f>'04_Need진단'!$A$19:$A$23</c:f>
              <c:strCache>
                <c:ptCount val="0"/>
              </c:strCache>
            </c:strRef>
          </c:cat>
          <c:val>
            <c:numRef>
              <c:f>'04_Need진단'!$E$19:$E$23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신규계약 추가 전·후 기여마진 비교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기존 포트폴리오</c:v>
          </c:tx>
          <c:cat>
            <c:strRef>
              <c:f>'08_신규계약전후'!$A$8:$A$9</c:f>
              <c:strCache>
                <c:ptCount val="0"/>
              </c:strCache>
            </c:strRef>
          </c:cat>
          <c:val>
            <c:numRef>
              <c:f>'08_신규계약전후'!$B$8:$B$9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신규계약 추가 후</c:v>
          </c:tx>
          <c:cat>
            <c:strRef>
              <c:f>'08_신규계약전후'!$A$8:$A$9</c:f>
              <c:strCache>
                <c:ptCount val="0"/>
              </c:strCache>
            </c:strRef>
          </c:cat>
          <c:val>
            <c:numRef>
              <c:f>'08_신규계약전후'!$C$8:$C$9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e61b3dc07b4ae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6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d7906d8ce4400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eb8b0e06eae9412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9887568d1b044947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4" hidden="0" customWidth="1"/>
    <x:col min="4" max="4" width="18" hidden="0" customWidth="1"/>
    <x:col min="5" max="5" width="22" hidden="0" customWidth="1"/>
    <x:col min="6" max="6" width="2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28" customHeight="1">
      <x:c r="A1" s="130" t="str">
        <x:v>BlueWave 해운 헤지 Need 진단 — 신규계약 Downside MVP</x:v>
      </x:c>
      <x:c r="B1" s="130"/>
      <x:c r="C1" s="130"/>
      <x:c r="D1" s="130"/>
      <x:c r="E1" s="130"/>
      <x:c r="F1" s="130"/>
      <x:c r="G1" s="130"/>
      <x:c r="H1" s="130"/>
      <x:c r="I1" s="131"/>
      <x:c r="J1" s="131"/>
    </x:row>
    <x:row r="3">
      <x:c r="A3" s="132" t="str">
        <x:v>미래가격을 맞히지 않고, 신규계약이 회사 전체 Downside를 얼마나 키우는지와 최소 필요 보호수준을 진단합니다.</x:v>
      </x:c>
      <x:c r="B3" s="132"/>
      <x:c r="C3" s="132"/>
      <x:c r="D3" s="132"/>
      <x:c r="E3" s="132"/>
      <x:c r="F3" s="132"/>
      <x:c r="G3" s="132"/>
      <x:c r="H3" s="132"/>
      <x:c r="I3" s="106"/>
      <x:c r="J3" s="106"/>
    </x:row>
    <x:row r="5">
      <x:c r="A5" s="133" t="str">
        <x:v>경영진 선택</x:v>
      </x:c>
      <x:c r="B5" s="133" t="str">
        <x:v>값</x:v>
      </x:c>
      <x:c r="C5" s="133" t="str">
        <x:v>의미</x:v>
      </x:c>
      <x:c r="D5" s="44"/>
      <x:c r="E5" s="133" t="str">
        <x:v>핵심 결과</x:v>
      </x:c>
      <x:c r="F5" s="133" t="str">
        <x:v>값</x:v>
      </x:c>
      <x:c r="G5" s="133" t="str">
        <x:v>비교/해석</x:v>
      </x:c>
      <x:c r="H5" s="133"/>
      <x:c r="I5" s="99"/>
      <x:c r="J5" s="99"/>
    </x:row>
    <x:row r="6">
      <x:c r="A6" t="str">
        <x:v>분석기간</x:v>
      </x:c>
      <x:c r="B6" s="134" t="n">
        <x:f>'07_경영진입력'!B6</x:f>
        <x:v>6</x:v>
      </x:c>
      <x:c r="C6" t="str">
        <x:v>3 / 6 / 12개월</x:v>
      </x:c>
      <x:c r="E6" t="str">
        <x:v>기존 Downside 유지율</x:v>
      </x:c>
      <x:c r="F6" s="121" t="n">
        <x:f>'08_신규계약전후'!B11</x:f>
        <x:v>0.9591897998872797</x:v>
      </x:c>
      <x:c r="G6" t="str">
        <x:v>신규계약 체결 전</x:v>
      </x:c>
      <x:c r="H6"/>
      <x:c r="I6"/>
      <x:c r="J6"/>
    </x:row>
    <x:row r="7">
      <x:c r="A7" t="str">
        <x:v>최소 공헌이익 유지율</x:v>
      </x:c>
      <x:c r="B7" s="121" t="n">
        <x:f>'07_경영진입력'!B7</x:f>
        <x:v>0.95</x:v>
      </x:c>
      <x:c r="C7" t="str">
        <x:v>기준 공헌이익(100%) 중 최소 확보 수준</x:v>
      </x:c>
      <x:c r="E7" t="str">
        <x:v>신규계약 후 Downside 유지율</x:v>
      </x:c>
      <x:c r="F7" s="121" t="n">
        <x:f>'08_신규계약전후'!C11</x:f>
        <x:v>0.9055254577797536</x:v>
      </x:c>
      <x:c r="G7" t="str">
        <x:v>신규계약 체결 후</x:v>
      </x:c>
      <x:c r="H7"/>
      <x:c r="I7"/>
      <x:c r="J7"/>
    </x:row>
    <x:row r="8">
      <x:c r="A8" t="str">
        <x:v>위험허용수준</x:v>
      </x:c>
      <x:c r="B8" s="121" t="str">
        <x:f>'07_경영진입력'!B8</x:f>
        <x:v>보수적(P10)</x:v>
      </x:c>
      <x:c r="C8" t="str">
        <x:v>보통(P20) / 보수적(P10) / 매우 보수적(P5)</x:v>
      </x:c>
      <x:c r="E8" t="str">
        <x:v>신규계약로 늘어난 Downside</x:v>
      </x:c>
      <x:c r="F8" s="120" t="n">
        <x:f>'08_신규계약전후'!F4</x:f>
        <x:v>2755464.09631519</x:v>
      </x:c>
      <x:c r="G8" t="str">
        <x:v>신규계약이 추가한 하방손실폭</x:v>
      </x:c>
      <x:c r="H8"/>
      <x:c r="I8"/>
      <x:c r="J8"/>
    </x:row>
    <x:row r="9">
      <x:c r="A9" t="str">
        <x:v>신규계약</x:v>
      </x:c>
      <x:c r="B9" s="134" t="str">
        <x:f>'07_경영진입력'!B12</x:f>
        <x:v>A Index-linked TC-out</x:v>
      </x:c>
      <x:c r="C9" t="str">
        <x:v>현재 데모: A Index-linked TC-out</x:v>
      </x:c>
      <x:c r="E9" t="str">
        <x:v>최소 필요 경제적 보호수준</x:v>
      </x:c>
      <x:c r="F9" s="121" t="n">
        <x:f>'04_Need진단'!E9</x:f>
        <x:v>0.4707568957207946</x:v>
      </x:c>
      <x:c r="G9" t="str">
        <x:v>실제 FFA 계약비율은 아님</x:v>
      </x:c>
      <x:c r="H9"/>
      <x:c r="I9"/>
      <x:c r="J9"/>
    </x:row>
    <x:row r="10">
      <x:c r="A10" s="44"/>
      <x:c r="B10" s="44"/>
      <x:c r="C10" s="44"/>
      <x:c r="D10" s="44"/>
      <x:c r="E10" s="44"/>
      <x:c r="F10" s="44"/>
      <x:c r="G10" s="44"/>
      <x:c r="H10" s="44"/>
    </x:row>
    <x:row r="11">
      <x:c r="A11"/>
      <x:c r="B11" s="86"/>
      <x:c r="C11" s="86"/>
      <x:c r="D11" s="86"/>
    </x:row>
    <x:row r="12">
      <x:c r="A12" s="105" t="str">
        <x:v>신규계약 전/후</x:v>
      </x:c>
      <x:c r="B12" s="137" t="str">
        <x:v>기존 기준</x:v>
      </x:c>
      <x:c r="C12" s="124" t="str">
        <x:v>기존 Downside</x:v>
      </x:c>
      <x:c r="D12" s="138" t="str">
        <x:v>추가 후 기준</x:v>
      </x:c>
      <x:c r="E12" s="105" t="str">
        <x:v>추가 후 Downside</x:v>
      </x:c>
      <x:c r="F12" s="105" t="str">
        <x:v>신규계약 위험기여율</x:v>
      </x:c>
      <x:c r="G12" s="105" t="str">
        <x:v>대표 역사경로</x:v>
      </x:c>
      <x:c r="H12" s="105" t="str"/>
      <x:c r="I12" s="105" t="str"/>
      <x:c r="J12" s="105" t="str"/>
    </x:row>
    <x:row r="13">
      <x:c r="A13" t="str">
        <x:v>선택조건</x:v>
      </x:c>
      <x:c r="B13" s="86"/>
      <x:c r="C13" s="68"/>
      <x:c r="D13" s="88"/>
      <x:c r="E13"/>
      <x:c r="F13"/>
      <x:c r="G13"/>
      <x:c r="H13"/>
      <x:c r="I13"/>
      <x:c r="J13"/>
    </x:row>
    <x:row r="14">
      <x:c r="A14" t="str">
        <x:v>값</x:v>
      </x:c>
      <x:c r="B14" s="139" t="n">
        <x:f>'08_신규계약전후'!B4</x:f>
        <x:v>31480345.299999997</x:v>
      </x:c>
      <x:c r="C14" s="139" t="n">
        <x:f>'08_신규계약전후'!C4</x:f>
        <x:v>30195626.108689465</x:v>
      </x:c>
      <x:c r="D14" s="139" t="n">
        <x:f>'08_신규계약전후'!D4</x:f>
        <x:v>42764782.9</x:v>
      </x:c>
      <x:c r="E14" s="120" t="n">
        <x:f>'08_신규계약전후'!E4</x:f>
        <x:v>38724599.612374276</x:v>
      </x:c>
      <x:c r="F14" s="121" t="n">
        <x:f>'08_신규계약전후'!G4</x:f>
        <x:v>0.6820146266023693</x:v>
      </x:c>
      <x:c r="G14" s="134" t="str">
        <x:f>'08_신규계약전후'!H4</x:f>
        <x:v>2024-10 ~ 2025-03</x:v>
      </x:c>
      <x:c r="H14"/>
      <x:c r="I14"/>
      <x:c r="J14"/>
    </x:row>
    <x:row r="15">
      <x:c r="A15"/>
      <x:c r="B15" s="68"/>
      <x:c r="C15" s="68"/>
      <x:c r="D15" s="68"/>
      <x:c r="E15"/>
      <x:c r="F15"/>
      <x:c r="G15"/>
      <x:c r="H15"/>
      <x:c r="I15"/>
      <x:c r="J15"/>
    </x:row>
    <x:row r="16">
      <x:c r="A16" t="str">
        <x:v>핵심 해석</x:v>
      </x:c>
      <x:c r="B16"/>
      <x:c r="C16"/>
      <x:c r="D16"/>
      <x:c r="E16"/>
      <x:c r="F16"/>
      <x:c r="G16"/>
      <x:c r="H16"/>
      <x:c r="I16"/>
      <x:c r="J16"/>
    </x:row>
    <x:row r="17">
      <x:c r="A17" s="142" t="str">
        <x:v>진단 흐름: 기존 포트폴리오 → 신규계약 추가 → 실제 과거 공동시장경로 적용 → Downside 변화 측정 → 경영진 최소 공헌이익과 비교 → 최소 필요 경제적 보호수준 → 보호 우선순위. 실제 FFA 상품·월물·계약수량은 후속 고도화 범위입니다.</x:v>
      </x:c>
      <x:c r="B17" s="142"/>
      <x:c r="C17" s="142"/>
      <x:c r="D17" s="142"/>
      <x:c r="E17" s="142"/>
      <x:c r="F17" s="142"/>
      <x:c r="G17" s="142"/>
      <x:c r="H17" s="142"/>
      <x:c r="I17" s="106"/>
      <x:c r="J17" s="106"/>
    </x:row>
    <x:row r="18">
      <x:c r="A18" s="141"/>
      <x:c r="B18" s="141"/>
      <x:c r="C18" s="141"/>
      <x:c r="D18" s="106"/>
      <x:c r="E18" s="141"/>
      <x:c r="F18" s="141"/>
      <x:c r="G18" s="141"/>
      <x:c r="H18" s="141"/>
      <x:c r="I18" s="106"/>
      <x:c r="J18" s="106"/>
    </x:row>
    <x:row r="19">
      <x:c r="A19" s="150" t="str">
        <x:v>정의: 기준 공헌이익(100%)은 분석시점의 현재 시장가격을 적용한 Base Case입니다. 공헌이익 유지율은 Stress 공헌이익 ÷ 기준 공헌이익으로 계산하며, 90%는 기준 공헌이익의 90%가 남는다는 뜻입니다.</x:v>
      </x:c>
      <x:c r="B19" s="168"/>
      <x:c r="C19" s="150"/>
      <x:c r="D19" s="150"/>
      <x:c r="E19" s="150"/>
      <x:c r="F19" s="150"/>
      <x:c r="G19" s="150"/>
      <x:c r="H19" s="106"/>
      <x:c r="I19" s="106"/>
      <x:c r="J19" s="106"/>
    </x:row>
    <x:row r="20">
      <x:c r="A20" s="150"/>
      <x:c r="B20" s="168"/>
      <x:c r="C20" s="150"/>
      <x:c r="D20" s="150"/>
      <x:c r="E20" s="150"/>
      <x:c r="F20" s="150"/>
      <x:c r="G20" s="150"/>
      <x:c r="H20" s="106"/>
      <x:c r="I20" s="106"/>
      <x:c r="J20" s="106"/>
    </x:row>
    <x:row r="21">
      <x:c r="A21"/>
      <x:c r="B21" s="66"/>
      <x:c r="C21"/>
      <x:c r="E21"/>
      <x:c r="F21"/>
      <x:c r="G21"/>
      <x:c r="H21"/>
    </x:row>
    <x:row r="22">
      <x:c r="A22"/>
      <x:c r="B22" s="66"/>
      <x:c r="C22"/>
      <x:c r="E22"/>
      <x:c r="F22"/>
      <x:c r="G22"/>
      <x:c r="H22"/>
    </x:row>
    <x:row r="23">
      <x:c r="A23" s="105" t="str">
        <x:v>현재 MVP가 하는 것</x:v>
      </x:c>
      <x:c r="B23" s="129" t="str">
        <x:v>내용</x:v>
      </x:c>
      <x:c r="C23" s="105" t="str">
        <x:v>상태</x:v>
      </x:c>
      <x:c r="E23"/>
      <x:c r="F23"/>
      <x:c r="G23"/>
      <x:c r="H23"/>
    </x:row>
    <x:row r="24">
      <x:c r="A24" t="str">
        <x:v>미래가격</x:v>
      </x:c>
      <x:c r="B24" t="str">
        <x:v>예측하지 않음</x:v>
      </x:c>
      <x:c r="C24" t="str">
        <x:v>현재</x:v>
      </x:c>
    </x:row>
    <x:row r="25">
      <x:c r="A25" s="42" t="str">
        <x:v>변동성</x:v>
      </x:c>
      <x:c r="B25" s="42" t="str">
        <x:v>과거 실제 3/6/12개월 공동경로로 반영</x:v>
      </x:c>
      <x:c r="C25" s="42" t="str">
        <x:v>현재</x:v>
      </x:c>
      <x:c r="D25" s="42"/>
      <x:c r="E25" s="42"/>
      <x:c r="F25" s="42"/>
      <x:c r="G25" s="42"/>
      <x:c r="H25" s="42"/>
    </x:row>
    <x:row r="26">
      <x:c r="A26" t="str">
        <x:v>신규계약 영향</x:v>
      </x:c>
      <x:c r="B26" s="68" t="str">
        <x:v>추가 전/후 Downside 비교</x:v>
      </x:c>
      <x:c r="C26" s="68" t="str">
        <x:v>현재</x:v>
      </x:c>
      <x:c r="D26" s="68"/>
      <x:c r="E26" s="68"/>
      <x:c r="F26" s="68"/>
      <x:c r="G26" s="68"/>
      <x:c r="H26" s="68"/>
    </x:row>
    <x:row r="27">
      <x:c r="A27" t="str">
        <x:v>Need</x:v>
      </x:c>
      <x:c r="B27" s="68" t="str">
        <x:v>최소 필요 경제적 보호수준</x:v>
      </x:c>
      <x:c r="C27" s="68" t="str">
        <x:v>현재</x:v>
      </x:c>
      <x:c r="D27" s="68"/>
      <x:c r="E27" s="68"/>
      <x:c r="F27" s="68"/>
      <x:c r="G27" s="68"/>
      <x:c r="H27" s="68"/>
    </x:row>
    <x:row r="28">
      <x:c r="A28" t="str">
        <x:v>실행안</x:v>
      </x:c>
      <x:c r="B28" s="68" t="str">
        <x:v>실제 FFA 비율·월물·수량</x:v>
      </x:c>
      <x:c r="C28" s="68" t="str">
        <x:v>고도화</x:v>
      </x:c>
      <x:c r="D28" s="68"/>
      <x:c r="E28" s="68"/>
      <x:c r="F28" s="68"/>
      <x:c r="G28" s="68"/>
      <x:c r="H28" s="68"/>
    </x:row>
  </x:sheetData>
  <x:mergeCells>
    <x:mergeCell ref="A1:H1"/>
    <x:mergeCell ref="A3:H3"/>
    <x:mergeCell ref="A5:H5"/>
    <x:mergeCell ref="A10:H10"/>
    <x:mergeCell ref="A17:H17"/>
    <x:mergeCell ref="B26:H26"/>
    <x:mergeCell ref="B27:H27"/>
    <x:mergeCell ref="B28:H28"/>
    <x:mergeCell ref="A1:J1"/>
    <x:mergeCell ref="A3:J3"/>
    <x:mergeCell ref="A17:J20"/>
    <x:mergeCell ref="A19:G20"/>
  </x:mergeCells>
  <x:conditionalFormatting sqref="B19:B23">
    <x:cfRule type="expression" dxfId="4" priority="1">
      <x:formula>B19&lt;0</x:formula>
    </x:cfRule>
    <x:cfRule type="expression" dxfId="5" priority="2">
      <x:formula>B19&gt;0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7" hidden="0" customWidth="1"/>
    <x:col min="3" max="3" width="16" hidden="0" customWidth="1"/>
    <x:col min="4" max="4" width="13" hidden="0" customWidth="1"/>
    <x:col min="5" max="5" width="27" hidden="0" customWidth="1"/>
    <x:col min="6" max="6" width="36" hidden="0" customWidth="1"/>
    <x:col min="7" max="7" width="14" hidden="0" customWidth="1"/>
    <x:col min="8" max="8" width="30" hidden="0" customWidth="1"/>
  </x:cols>
  <x:sheetData>
    <x:row r="1" ht="28" customHeight="1">
      <x:c r="A1" s="5" t="str">
        <x:v>BlueWave MVP — 분석시점 입력 및 향후 계약 노출</x:v>
      </x:c>
      <x:c r="B1" s="5"/>
      <x:c r="C1" s="5"/>
      <x:c r="D1" s="5"/>
      <x:c r="E1" s="5"/>
      <x:c r="F1" s="5"/>
      <x:c r="G1" s="5"/>
      <x:c r="H1" s="5"/>
    </x:row>
    <x:row r="3">
      <x:c r="A3" s="15" t="str">
        <x:v>구분</x:v>
      </x:c>
      <x:c r="B3" s="15" t="str">
        <x:v>항목</x:v>
      </x:c>
      <x:c r="C3" s="15" t="str">
        <x:v>값</x:v>
      </x:c>
      <x:c r="D3" s="15" t="str">
        <x:v>단위</x:v>
      </x:c>
      <x:c r="E3" s="15" t="str">
        <x:v>역할</x:v>
      </x:c>
      <x:c r="F3" s="15" t="str">
        <x:v>근거/출처</x:v>
      </x:c>
      <x:c r="G3" s="15" t="str">
        <x:v>MVP 상태</x:v>
      </x:c>
      <x:c r="H3" s="15" t="str">
        <x:v>비고</x:v>
      </x:c>
    </x:row>
    <x:row r="4">
      <x:c r="A4" t="str">
        <x:v>분석설정</x:v>
      </x:c>
      <x:c r="B4" t="str">
        <x:v>분석기간</x:v>
      </x:c>
      <x:c r="C4" s="26" t="n">
        <x:v>6</x:v>
      </x:c>
      <x:c r="D4" t="str">
        <x:v>개월</x:v>
      </x:c>
      <x:c r="E4" t="str">
        <x:v>미래 위험을 평가할 계약기간</x:v>
      </x:c>
      <x:c r="F4" t="str">
        <x:v>MVP 사용자 선택</x:v>
      </x:c>
      <x:c r="G4" t="str">
        <x:v>입력</x:v>
      </x:c>
      <x:c r="H4" t="str">
        <x:v>3 / 6 / 12개월</x:v>
      </x:c>
    </x:row>
    <x:row r="5">
      <x:c r="A5" t="str">
        <x:v>분석설정</x:v>
      </x:c>
      <x:c r="B5" t="str">
        <x:v>Downside 기준</x:v>
      </x:c>
      <x:c r="C5" s="28" t="n">
        <x:v>0.1</x:v>
      </x:c>
      <x:c r="D5" t="str">
        <x:v>분위</x:v>
      </x:c>
      <x:c r="E5" t="str">
        <x:v>과거 경로 중 나쁜 10% 수준</x:v>
      </x:c>
      <x:c r="F5" t="str">
        <x:v>모형 가정</x:v>
      </x:c>
      <x:c r="G5" t="str">
        <x:v>입력</x:v>
      </x:c>
      <x:c r="H5" t="str">
        <x:v>P10 대표 실제 경로</x:v>
      </x:c>
    </x:row>
    <x:row r="6">
      <x:c r="A6" t="str">
        <x:v>경영목표</x:v>
      </x:c>
      <x:c r="B6" t="str">
        <x:v>최소 공헌이익 유지율</x:v>
      </x:c>
      <x:c r="C6" s="28" t="n">
        <x:v>0.95</x:v>
      </x:c>
      <x:c r="D6" t="str">
        <x:v>%</x:v>
      </x:c>
      <x:c r="E6" t="str">
        <x:v>기준 공헌이익(100%) 대비 최소 허용수준</x:v>
      </x:c>
      <x:c r="F6" t="str">
        <x:v>모형 가정</x:v>
      </x:c>
      <x:c r="G6" t="str">
        <x:v>입력</x:v>
      </x:c>
      <x:c r="H6" t="str">
        <x:v>경영진 Risk Limit</x:v>
      </x:c>
    </x:row>
    <x:row r="7">
      <x:c r="A7" t="str">
        <x:v>분석시점</x:v>
      </x:c>
      <x:c r="B7" t="str">
        <x:v>시장데이터 기준월</x:v>
      </x:c>
      <x:c r="C7" s="30" t="n">
        <x:v>45992</x:v>
      </x:c>
      <x:c r="D7" t="str">
        <x:v>월</x:v>
      </x:c>
      <x:c r="E7" t="str">
        <x:v>미래가격을 모르는 의사결정 시점</x:v>
      </x:c>
      <x:c r="F7" t="str">
        <x:v>공개시장데이터 마지막 관측월</x:v>
      </x:c>
      <x:c r="G7" t="str">
        <x:v>고정</x:v>
      </x:c>
      <x:c r="H7" t="str">
        <x:v>MVP proxy</x:v>
      </x:c>
    </x:row>
    <x:row r="8">
      <x:c r="A8" t="str">
        <x:v>현재시장</x:v>
      </x:c>
      <x:c r="B8" t="str">
        <x:v>Panamax TC Proxy</x:v>
      </x:c>
      <x:c r="C8" s="32" t="n">
        <x:v>15672.83</x:v>
      </x:c>
      <x:c r="D8" t="str">
        <x:v>USD/day</x:v>
      </x:c>
      <x:c r="E8" t="str">
        <x:v>A 수익 및 D TC-in 기준가격</x:v>
      </x:c>
      <x:c r="F8" t="str">
        <x:v>KOBC Panamax TC Average</x:v>
      </x:c>
      <x:c r="G8" t="str">
        <x:v>실제/Proxy</x:v>
      </x:c>
      <x:c r="H8" t="str">
        <x:v>A의 P5TC 대리</x:v>
      </x:c>
    </x:row>
    <x:row r="9">
      <x:c r="A9" t="str">
        <x:v>현재시장</x:v>
      </x:c>
      <x:c r="B9" t="str">
        <x:v>PNW→Japan</x:v>
      </x:c>
      <x:c r="C9" s="32" t="n">
        <x:v>29.08</x:v>
      </x:c>
      <x:c r="D9" t="str">
        <x:v>USD/t</x:v>
      </x:c>
      <x:c r="E9" t="str">
        <x:v>C1 기준 운임</x:v>
      </x:c>
      <x:c r="F9" t="str">
        <x:v>USDA AMS</x:v>
      </x:c>
      <x:c r="G9" t="str">
        <x:v>실제</x:v>
      </x:c>
      <x:c r="H9" t="str"/>
    </x:row>
    <x:row r="10">
      <x:c r="A10" t="str">
        <x:v>현재시장</x:v>
      </x:c>
      <x:c r="B10" t="str">
        <x:v>US Gulf→Japan</x:v>
      </x:c>
      <x:c r="C10" s="32" t="n">
        <x:v>55.75</x:v>
      </x:c>
      <x:c r="D10" t="str">
        <x:v>USD/t</x:v>
      </x:c>
      <x:c r="E10" t="str">
        <x:v>C2 기준 운임</x:v>
      </x:c>
      <x:c r="F10" t="str">
        <x:v>USDA AMS</x:v>
      </x:c>
      <x:c r="G10" t="str">
        <x:v>실제</x:v>
      </x:c>
      <x:c r="H10" t="str"/>
    </x:row>
    <x:row r="11">
      <x:c r="A11" t="str">
        <x:v>현재시장</x:v>
      </x:c>
      <x:c r="B11" t="str">
        <x:v>VLSFO 기준단가</x:v>
      </x:c>
      <x:c r="C11" s="34" t="n">
        <x:v>535</x:v>
      </x:c>
      <x:c r="D11" t="str">
        <x:v>USD/t</x:v>
      </x:c>
      <x:c r="E11" t="str">
        <x:v>현재 연료 원가기준</x:v>
      </x:c>
      <x:c r="F11" t="str">
        <x:v>BlueWave 모형가정</x:v>
      </x:c>
      <x:c r="G11" t="str">
        <x:v>가정</x:v>
      </x:c>
      <x:c r="H11" t="str">
        <x:v>가격변화는 Brent Proxy</x:v>
      </x:c>
    </x:row>
    <x:row r="12">
      <x:c r="A12" t="str">
        <x:v>현재시장</x:v>
      </x:c>
      <x:c r="B12" t="str">
        <x:v>Brent</x:v>
      </x:c>
      <x:c r="C12" s="34" t="n">
        <x:v>62.54</x:v>
      </x:c>
      <x:c r="D12" t="str">
        <x:v>USD/bbl</x:v>
      </x:c>
      <x:c r="E12" t="str">
        <x:v>연료가격 변화경로 Proxy</x:v>
      </x:c>
      <x:c r="F12" t="str">
        <x:v>U.S. EIA</x:v>
      </x:c>
      <x:c r="G12" t="str">
        <x:v>실제/Proxy</x:v>
      </x:c>
      <x:c r="H12" t="str">
        <x:v>VLSFO 수준 자체는 아님</x:v>
      </x:c>
    </x:row>
    <x:row r="13">
      <x:c r="A13" t="str">
        <x:v>고정계약</x:v>
      </x:c>
      <x:c r="B13" t="str">
        <x:v>B 고정 TC-out</x:v>
      </x:c>
      <x:c r="C13" s="34" t="n">
        <x:v>16000</x:v>
      </x:c>
      <x:c r="D13" t="str">
        <x:v>USD/day</x:v>
      </x:c>
      <x:c r="E13" t="str">
        <x:v>시장변동과 무관한 고정수익</x:v>
      </x:c>
      <x:c r="F13" t="str">
        <x:v>BlueWave 계약가정</x:v>
      </x:c>
      <x:c r="G13" t="str">
        <x:v>가정</x:v>
      </x:c>
      <x:c r="H13" t="str"/>
    </x:row>
    <x:row r="14">
      <x:c r="A14" t="str">
        <x:v>고정계약</x:v>
      </x:c>
      <x:c r="B14" t="str">
        <x:v>D COA 고정운임</x:v>
      </x:c>
      <x:c r="C14" s="34" t="n">
        <x:v>55</x:v>
      </x:c>
      <x:c r="D14" t="str">
        <x:v>USD/t</x:v>
      </x:c>
      <x:c r="E14" t="str">
        <x:v>D의 고정 화물운임</x:v>
      </x:c>
      <x:c r="F14" t="str">
        <x:v>BlueWave 계약가정</x:v>
      </x:c>
      <x:c r="G14" t="str">
        <x:v>가정</x:v>
      </x:c>
      <x:c r="H14" t="str"/>
    </x:row>
    <x:row r="15">
      <x:c r="C15" s="34"/>
    </x:row>
    <x:row r="17">
      <x:c r="A17" s="38" t="str">
        <x:v>※ 현재 Excel MVP의 역사경로 표는 3·6·12개월 각각 사전계산되어 있으며, 웹 버전에서 동일 로직을 동적으로 실행합니다.</x:v>
      </x:c>
      <x:c r="B17" s="38"/>
      <x:c r="C17" s="38"/>
      <x:c r="D17" s="38"/>
      <x:c r="E17" s="38"/>
      <x:c r="F17" s="38"/>
      <x:c r="G17" s="38"/>
      <x:c r="H17" s="38"/>
    </x:row>
    <x:row r="19">
      <x:c r="A19" s="44" t="str">
        <x:v>향후 계약의 월별 노출 계획 (미래 가격은 입력하지 않음)</x:v>
      </x:c>
      <x:c r="B19" s="44"/>
      <x:c r="C19" s="44"/>
      <x:c r="D19" s="44"/>
      <x:c r="E19" s="44"/>
      <x:c r="F19" s="44"/>
      <x:c r="G19" s="44"/>
      <x:c r="H19" s="44"/>
    </x:row>
    <x:row r="20">
      <x:c r="A20" s="15" t="str">
        <x:v>월</x:v>
      </x:c>
      <x:c r="B20" s="15" t="str">
        <x:v>A Panamax 연동 TC-out (days)</x:v>
      </x:c>
      <x:c r="C20" s="15" t="str">
        <x:v>B Fixed TC-out (days)</x:v>
      </x:c>
      <x:c r="D20" s="15" t="str">
        <x:v>C1 PNW 운임노출 (t)</x:v>
      </x:c>
      <x:c r="E20" s="15" t="str">
        <x:v>C2 USG 운임노출 (t)</x:v>
      </x:c>
      <x:c r="F20" s="15" t="str">
        <x:v>D 고정 COA 매출물량 (t)</x:v>
      </x:c>
      <x:c r="G20" s="15" t="str">
        <x:v>D 향후 TC-in (days)</x:v>
      </x:c>
      <x:c r="H20" s="15" t="str">
        <x:v>연료구매노출 (t)</x:v>
      </x:c>
    </x:row>
    <x:row r="21">
      <x:c r="A21" t="n">
        <x:v>1</x:v>
      </x:c>
      <x:c r="B21" s="56" t="n">
        <x:v>120</x:v>
      </x:c>
      <x:c r="C21" s="56" t="n">
        <x:v>150</x:v>
      </x:c>
      <x:c r="D21" s="56" t="n">
        <x:v>66000</x:v>
      </x:c>
      <x:c r="E21" s="56" t="n">
        <x:v>66000</x:v>
      </x:c>
      <x:c r="F21" s="56" t="n">
        <x:v>0</x:v>
      </x:c>
      <x:c r="G21" s="56" t="n">
        <x:v>0</x:v>
      </x:c>
      <x:c r="H21" s="56" t="n">
        <x:v>2800</x:v>
      </x:c>
    </x:row>
    <x:row r="22">
      <x:c r="A22" t="n">
        <x:v>2</x:v>
      </x:c>
      <x:c r="B22" s="56" t="n">
        <x:v>120</x:v>
      </x:c>
      <x:c r="C22" s="56" t="n">
        <x:v>150</x:v>
      </x:c>
      <x:c r="D22" s="56" t="n">
        <x:v>66000</x:v>
      </x:c>
      <x:c r="E22" s="56" t="n">
        <x:v>0</x:v>
      </x:c>
      <x:c r="F22" s="56" t="n">
        <x:v>66000</x:v>
      </x:c>
      <x:c r="G22" s="56" t="n">
        <x:v>30</x:v>
      </x:c>
      <x:c r="H22" s="56" t="n">
        <x:v>2050</x:v>
      </x:c>
    </x:row>
    <x:row r="23">
      <x:c r="A23" t="n">
        <x:v>3</x:v>
      </x:c>
      <x:c r="B23" s="56" t="n">
        <x:v>120</x:v>
      </x:c>
      <x:c r="C23" s="56" t="n">
        <x:v>150</x:v>
      </x:c>
      <x:c r="D23" s="56" t="n">
        <x:v>0</x:v>
      </x:c>
      <x:c r="E23" s="56" t="n">
        <x:v>0</x:v>
      </x:c>
      <x:c r="F23" s="56" t="n">
        <x:v>0</x:v>
      </x:c>
      <x:c r="G23" s="56" t="n">
        <x:v>15</x:v>
      </x:c>
      <x:c r="H23" s="56" t="n">
        <x:v>0</x:v>
      </x:c>
    </x:row>
    <x:row r="24">
      <x:c r="A24" t="n">
        <x:v>4</x:v>
      </x:c>
      <x:c r="B24" s="56" t="n">
        <x:v>120</x:v>
      </x:c>
      <x:c r="C24" s="56" t="n">
        <x:v>150</x:v>
      </x:c>
      <x:c r="D24" s="56" t="n">
        <x:v>66000</x:v>
      </x:c>
      <x:c r="E24" s="56" t="n">
        <x:v>66000</x:v>
      </x:c>
      <x:c r="F24" s="56" t="n">
        <x:v>0</x:v>
      </x:c>
      <x:c r="G24" s="56" t="n">
        <x:v>0</x:v>
      </x:c>
      <x:c r="H24" s="56" t="n">
        <x:v>2800</x:v>
      </x:c>
    </x:row>
    <x:row r="25">
      <x:c r="A25" t="n">
        <x:v>5</x:v>
      </x:c>
      <x:c r="B25" s="56" t="n">
        <x:v>120</x:v>
      </x:c>
      <x:c r="C25" s="56" t="n">
        <x:v>150</x:v>
      </x:c>
      <x:c r="D25" s="56" t="n">
        <x:v>66000</x:v>
      </x:c>
      <x:c r="E25" s="56" t="n">
        <x:v>0</x:v>
      </x:c>
      <x:c r="F25" s="56" t="n">
        <x:v>66000</x:v>
      </x:c>
      <x:c r="G25" s="56" t="n">
        <x:v>30</x:v>
      </x:c>
      <x:c r="H25" s="56" t="n">
        <x:v>2050</x:v>
      </x:c>
    </x:row>
    <x:row r="26">
      <x:c r="A26" t="n">
        <x:v>6</x:v>
      </x:c>
      <x:c r="B26" s="56" t="n">
        <x:v>120</x:v>
      </x:c>
      <x:c r="C26" s="56" t="n">
        <x:v>150</x:v>
      </x:c>
      <x:c r="D26" s="56" t="n">
        <x:v>66000</x:v>
      </x:c>
      <x:c r="E26" s="56" t="n">
        <x:v>0</x:v>
      </x:c>
      <x:c r="F26" s="56" t="n">
        <x:v>0</x:v>
      </x:c>
      <x:c r="G26" s="56" t="n">
        <x:v>15</x:v>
      </x:c>
      <x:c r="H26" s="56" t="n">
        <x:v>1000</x:v>
      </x:c>
    </x:row>
    <x:row r="27">
      <x:c r="A27" t="n">
        <x:v>7</x:v>
      </x:c>
      <x:c r="B27" s="56" t="n">
        <x:v>120</x:v>
      </x:c>
      <x:c r="C27" s="56" t="n">
        <x:v>150</x:v>
      </x:c>
      <x:c r="D27" s="56" t="n">
        <x:v>0</x:v>
      </x:c>
      <x:c r="E27" s="56" t="n">
        <x:v>66000</x:v>
      </x:c>
      <x:c r="F27" s="56" t="n">
        <x:v>0</x:v>
      </x:c>
      <x:c r="G27" s="56" t="n">
        <x:v>0</x:v>
      </x:c>
      <x:c r="H27" s="56" t="n">
        <x:v>1800</x:v>
      </x:c>
    </x:row>
    <x:row r="28">
      <x:c r="A28" t="n">
        <x:v>8</x:v>
      </x:c>
      <x:c r="B28" s="56" t="n">
        <x:v>120</x:v>
      </x:c>
      <x:c r="C28" s="56" t="n">
        <x:v>150</x:v>
      </x:c>
      <x:c r="D28" s="56" t="n">
        <x:v>66000</x:v>
      </x:c>
      <x:c r="E28" s="56" t="n">
        <x:v>0</x:v>
      </x:c>
      <x:c r="F28" s="56" t="n">
        <x:v>66000</x:v>
      </x:c>
      <x:c r="G28" s="56" t="n">
        <x:v>30</x:v>
      </x:c>
      <x:c r="H28" s="56" t="n">
        <x:v>2050</x:v>
      </x:c>
    </x:row>
    <x:row r="29">
      <x:c r="A29" t="n">
        <x:v>9</x:v>
      </x:c>
      <x:c r="B29" s="56" t="n">
        <x:v>120</x:v>
      </x:c>
      <x:c r="C29" s="56" t="n">
        <x:v>150</x:v>
      </x:c>
      <x:c r="D29" s="56" t="n">
        <x:v>66000</x:v>
      </x:c>
      <x:c r="E29" s="56" t="n">
        <x:v>0</x:v>
      </x:c>
      <x:c r="F29" s="56" t="n">
        <x:v>0</x:v>
      </x:c>
      <x:c r="G29" s="56" t="n">
        <x:v>15</x:v>
      </x:c>
      <x:c r="H29" s="56" t="n">
        <x:v>1000</x:v>
      </x:c>
    </x:row>
    <x:row r="30">
      <x:c r="A30" t="n">
        <x:v>10</x:v>
      </x:c>
      <x:c r="B30" s="56" t="n">
        <x:v>120</x:v>
      </x:c>
      <x:c r="C30" s="56" t="n">
        <x:v>150</x:v>
      </x:c>
      <x:c r="D30" s="56" t="n">
        <x:v>0</x:v>
      </x:c>
      <x:c r="E30" s="56" t="n">
        <x:v>66000</x:v>
      </x:c>
      <x:c r="F30" s="56" t="n">
        <x:v>0</x:v>
      </x:c>
      <x:c r="G30" s="56" t="n">
        <x:v>0</x:v>
      </x:c>
      <x:c r="H30" s="56" t="n">
        <x:v>1800</x:v>
      </x:c>
    </x:row>
    <x:row r="31">
      <x:c r="A31" t="n">
        <x:v>11</x:v>
      </x:c>
      <x:c r="B31" s="56" t="n">
        <x:v>120</x:v>
      </x:c>
      <x:c r="C31" s="56" t="n">
        <x:v>150</x:v>
      </x:c>
      <x:c r="D31" s="56" t="n">
        <x:v>66000</x:v>
      </x:c>
      <x:c r="E31" s="56" t="n">
        <x:v>0</x:v>
      </x:c>
      <x:c r="F31" s="56" t="n">
        <x:v>66000</x:v>
      </x:c>
      <x:c r="G31" s="56" t="n">
        <x:v>30</x:v>
      </x:c>
      <x:c r="H31" s="56" t="n">
        <x:v>2050</x:v>
      </x:c>
    </x:row>
    <x:row r="32">
      <x:c r="A32" t="n">
        <x:v>12</x:v>
      </x:c>
      <x:c r="B32" s="56" t="n">
        <x:v>120</x:v>
      </x:c>
      <x:c r="C32" s="56" t="n">
        <x:v>150</x:v>
      </x:c>
      <x:c r="D32" s="56" t="n">
        <x:v>0</x:v>
      </x:c>
      <x:c r="E32" s="56" t="n">
        <x:v>0</x:v>
      </x:c>
      <x:c r="F32" s="56" t="n">
        <x:v>0</x:v>
      </x:c>
      <x:c r="G32" s="56" t="n">
        <x:v>15</x:v>
      </x:c>
      <x:c r="H32" s="56" t="n">
        <x:v>0</x:v>
      </x:c>
    </x:row>
    <x:row r="33">
      <x:c r="A33" s="49" t="str">
        <x:v>합계</x:v>
      </x:c>
      <x:c r="B33" s="53" t="n">
        <x:v>1440</x:v>
      </x:c>
      <x:c r="C33" s="53" t="n">
        <x:v>1800</x:v>
      </x:c>
      <x:c r="D33" s="53" t="n">
        <x:v>528000</x:v>
      </x:c>
      <x:c r="E33" s="53" t="n">
        <x:v>264000</x:v>
      </x:c>
      <x:c r="F33" s="53" t="n">
        <x:v>264000</x:v>
      </x:c>
      <x:c r="G33" s="53" t="n">
        <x:v>180</x:v>
      </x:c>
      <x:c r="H33" s="53" t="n">
        <x:v>19400</x:v>
      </x:c>
    </x:row>
    <x:row r="35">
      <x:c r="A35" s="44" t="str">
        <x:v>계약별 의미</x:v>
      </x:c>
      <x:c r="B35" s="44"/>
      <x:c r="C35" s="44"/>
      <x:c r="D35" s="44"/>
      <x:c r="E35" s="44"/>
      <x:c r="F35" s="44"/>
      <x:c r="G35" s="44"/>
      <x:c r="H35" s="44"/>
    </x:row>
    <x:row r="36">
      <x:c r="A36" t="str">
        <x:v>A</x:v>
      </x:c>
      <x:c r="B36" t="str">
        <x:v>Index-linked TC-out</x:v>
      </x:c>
      <x:c r="C36" t="str">
        <x:v>Panamax 운임 하락 시 수입 감소</x:v>
      </x:c>
      <x:c r="D36" t="str">
        <x:v>Panamax TC proxy</x:v>
      </x:c>
      <x:c r="E36" t="str">
        <x:v>보호 필요성 분석 대상</x:v>
      </x:c>
      <x:c r="F36" t="str"/>
      <x:c r="G36" t="str"/>
      <x:c r="H36" t="str"/>
    </x:row>
    <x:row r="37">
      <x:c r="A37" t="str">
        <x:v>B</x:v>
      </x:c>
      <x:c r="B37" t="str">
        <x:v>Fixed TC-out</x:v>
      </x:c>
      <x:c r="C37" t="str">
        <x:v>고정 용선료로 시장운임 직접노출 제한</x:v>
      </x:c>
      <x:c r="D37" t="str">
        <x:v>고정</x:v>
      </x:c>
      <x:c r="E37" t="str">
        <x:v>포트폴리오 안정화 역할</x:v>
      </x:c>
      <x:c r="F37" t="str"/>
      <x:c r="G37" t="str"/>
      <x:c r="H37" t="str"/>
    </x:row>
    <x:row r="38">
      <x:c r="A38" t="str">
        <x:v>C1</x:v>
      </x:c>
      <x:c r="B38" t="str">
        <x:v>Spot/Voyage</x:v>
      </x:c>
      <x:c r="C38" t="str">
        <x:v>PNW→Japan 운임 하락 시 수입 감소</x:v>
      </x:c>
      <x:c r="D38" t="str">
        <x:v>PNW→Japan</x:v>
      </x:c>
      <x:c r="E38" t="str">
        <x:v>보호 필요성 분석 대상</x:v>
      </x:c>
      <x:c r="F38" t="str"/>
      <x:c r="G38" t="str"/>
      <x:c r="H38" t="str"/>
    </x:row>
    <x:row r="39">
      <x:c r="A39" t="str">
        <x:v>C2</x:v>
      </x:c>
      <x:c r="B39" t="str">
        <x:v>Spot/Voyage</x:v>
      </x:c>
      <x:c r="C39" t="str">
        <x:v>US Gulf→Japan 운임 하락 시 수입 감소</x:v>
      </x:c>
      <x:c r="D39" t="str">
        <x:v>USG→Japan</x:v>
      </x:c>
      <x:c r="E39" t="str">
        <x:v>보호 필요성 분석 대상</x:v>
      </x:c>
      <x:c r="F39" t="str"/>
      <x:c r="G39" t="str"/>
      <x:c r="H39" t="str"/>
    </x:row>
    <x:row r="40">
      <x:c r="A40" t="str">
        <x:v>D</x:v>
      </x:c>
      <x:c r="B40" t="str">
        <x:v>Fixed COA / future TC-in</x:v>
      </x:c>
      <x:c r="C40" t="str">
        <x:v>매출은 고정, 선박조달 운임 상승 시 비용 증가</x:v>
      </x:c>
      <x:c r="D40" t="str">
        <x:v>Panamax TC proxy</x:v>
      </x:c>
      <x:c r="E40" t="str">
        <x:v>A와 자연상계 가능</x:v>
      </x:c>
      <x:c r="F40" t="str"/>
      <x:c r="G40" t="str"/>
      <x:c r="H40" t="str"/>
    </x:row>
    <x:row r="41">
      <x:c r="A41" t="str">
        <x:v>Fuel</x:v>
      </x:c>
      <x:c r="B41" t="str">
        <x:v>VLSFO 구매</x:v>
      </x:c>
      <x:c r="C41" t="str">
        <x:v>연료가격 상승 시 비용 증가</x:v>
      </x:c>
      <x:c r="D41" t="str">
        <x:v>Brent return proxy</x:v>
      </x:c>
      <x:c r="E41" t="str">
        <x:v>실제 VLSFO 데이터 연결은 고도화</x:v>
      </x:c>
      <x:c r="F41" t="str"/>
      <x:c r="G41" t="str"/>
      <x:c r="H41" t="str"/>
    </x:row>
  </x:sheetData>
  <x:mergeCells>
    <x:mergeCell ref="A1:H1"/>
    <x:mergeCell ref="A17:H17"/>
    <x:mergeCell ref="A19:H19"/>
    <x:mergeCell ref="A35:H35"/>
  </x:mergeCells>
  <x:dataValidations count="2">
    <x:dataValidation type="list" sqref="C4">
      <x:formula1>"3,6,12"</x:formula1>
    </x:dataValidation>
    <x:dataValidation type="list" sqref="C5">
      <x:formula1>"0.05,0.1,0.2"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9" hidden="0" customWidth="1"/>
    <x:col min="4" max="4" width="21" hidden="0" customWidth="1"/>
    <x:col min="5" max="5" width="15" hidden="0" customWidth="1"/>
    <x:col min="6" max="6" width="13" hidden="0" customWidth="1"/>
    <x:col min="7" max="7" width="13" hidden="0" customWidth="1"/>
    <x:col min="8" max="8" width="14" hidden="0" customWidth="1"/>
    <x:col min="9" max="9" width="13" hidden="0" customWidth="1"/>
    <x:col min="11" max="11" width="16" hidden="0" customWidth="1"/>
    <x:col min="12" max="12" width="32" hidden="0" customWidth="1"/>
    <x:col min="13" max="13" width="55" hidden="0" customWidth="1"/>
  </x:cols>
  <x:sheetData>
    <x:row r="1" ht="28" customHeight="1">
      <x:c r="A1" s="5" t="str">
        <x:v>실제 공개 시장데이터 — 미래가격 예측이 아니라 과거 변동경로 생성에 사용</x:v>
      </x:c>
      <x:c r="B1" s="5"/>
      <x:c r="C1" s="5"/>
      <x:c r="D1" s="5"/>
      <x:c r="E1" s="5"/>
      <x:c r="F1" s="5"/>
      <x:c r="G1" s="5"/>
      <x:c r="H1" s="5"/>
      <x:c r="I1" s="5"/>
    </x:row>
    <x:row r="3">
      <x:c r="A3" s="15" t="str">
        <x:v>월</x:v>
      </x:c>
      <x:c r="B3" s="15" t="str">
        <x:v>PNW→Japan (USD/t)</x:v>
      </x:c>
      <x:c r="C3" s="15" t="str">
        <x:v>USG→Japan (USD/t)</x:v>
      </x:c>
      <x:c r="D3" s="15" t="str">
        <x:v>KOBC Panamax TC (USD/day)</x:v>
      </x:c>
      <x:c r="E3" s="15" t="str">
        <x:v>Brent (USD/bbl)</x:v>
      </x:c>
      <x:c r="F3" s="15" t="str">
        <x:v>PNW MoM</x:v>
      </x:c>
      <x:c r="G3" s="15" t="str">
        <x:v>USG MoM</x:v>
      </x:c>
      <x:c r="H3" s="15" t="str">
        <x:v>Panamax MoM</x:v>
      </x:c>
      <x:c r="I3" s="15" t="str">
        <x:v>Brent MoM</x:v>
      </x:c>
      <x:c r="K3" s="44" t="str">
        <x:v>출처</x:v>
      </x:c>
      <x:c r="L3" s="44"/>
      <x:c r="M3" s="44"/>
    </x:row>
    <x:row r="4">
      <x:c r="A4" s="58" t="n">
        <x:v>44621</x:v>
      </x:c>
      <x:c r="B4" s="60" t="n">
        <x:v>42.85</x:v>
      </x:c>
      <x:c r="C4" s="60" t="n">
        <x:v>76.3</x:v>
      </x:c>
      <x:c r="D4" s="60" t="n">
        <x:v>28769.24</x:v>
      </x:c>
      <x:c r="E4" s="60" t="n">
        <x:v>117.25</x:v>
      </x:c>
      <x:c r="F4" s="62"/>
      <x:c r="G4" s="62"/>
      <x:c r="H4" s="62"/>
      <x:c r="I4" s="62"/>
      <x:c r="K4" t="str">
        <x:v>PNW / US Gulf</x:v>
      </x:c>
      <x:c r="L4" t="str">
        <x:v>USDA AMS Grain Transportation</x:v>
      </x:c>
      <x:c r="M4" s="64" t="str">
        <x:v>https://agtransport.usda.gov/Bulk/Bulk-Grain-Ocean-Freight-Rates/ehic-wtxb</x:v>
      </x:c>
    </x:row>
    <x:row r="5">
      <x:c r="A5" s="58" t="n">
        <x:v>44652</x:v>
      </x:c>
      <x:c r="B5" s="60" t="n">
        <x:v>44.25</x:v>
      </x:c>
      <x:c r="C5" s="60" t="n">
        <x:v>78.5</x:v>
      </x:c>
      <x:c r="D5" s="60" t="n">
        <x:v>26716.19</x:v>
      </x:c>
      <x:c r="E5" s="60" t="n">
        <x:v>104.58</x:v>
      </x:c>
      <x:c r="F5" s="62" t="n">
        <x:v>0.03267211201866971</x:v>
      </x:c>
      <x:c r="G5" s="62" t="n">
        <x:v>0.028833551769331667</x:v>
      </x:c>
      <x:c r="H5" s="62" t="n">
        <x:v>-0.07136267763764359</x:v>
      </x:c>
      <x:c r="I5" s="62" t="n">
        <x:v>-0.1080597014925373</x:v>
      </x:c>
      <x:c r="K5" t="str">
        <x:v>Panamax</x:v>
      </x:c>
      <x:c r="L5" t="str">
        <x:v>KOBC Panamax TC Average</x:v>
      </x:c>
      <x:c r="M5" s="64" t="str">
        <x:v>https://www.kobc.or.kr/ebz/shippinginfo/panamax/gridList.do?mId=0301000000</x:v>
      </x:c>
    </x:row>
    <x:row r="6">
      <x:c r="A6" s="58" t="n">
        <x:v>44682</x:v>
      </x:c>
      <x:c r="B6" s="60" t="n">
        <x:v>46.25</x:v>
      </x:c>
      <x:c r="C6" s="60" t="n">
        <x:v>81.38</x:v>
      </x:c>
      <x:c r="D6" s="60" t="n">
        <x:v>29573.14</x:v>
      </x:c>
      <x:c r="E6" s="60" t="n">
        <x:v>113.34</x:v>
      </x:c>
      <x:c r="F6" s="62" t="n">
        <x:v>0.04519774011299438</x:v>
      </x:c>
      <x:c r="G6" s="62" t="n">
        <x:v>0.03668789808917183</x:v>
      </x:c>
      <x:c r="H6" s="62" t="n">
        <x:v>0.10693702956896178</x:v>
      </x:c>
      <x:c r="I6" s="62" t="n">
        <x:v>0.08376362593230069</x:v>
      </x:c>
      <x:c r="K6" t="str">
        <x:v>Brent</x:v>
      </x:c>
      <x:c r="L6" t="str">
        <x:v>U.S. EIA Europe Brent Spot</x:v>
      </x:c>
      <x:c r="M6" s="64" t="str">
        <x:v>https://www.eia.gov/dnav/pet/hist/leafhandler.ashx?f=m&amp;n=pet&amp;s=rbrte</x:v>
      </x:c>
    </x:row>
    <x:row r="7">
      <x:c r="A7" s="58" t="n">
        <x:v>44713</x:v>
      </x:c>
      <x:c r="B7" s="60" t="n">
        <x:v>45.1</x:v>
      </x:c>
      <x:c r="C7" s="60" t="n">
        <x:v>78.95</x:v>
      </x:c>
      <x:c r="D7" s="60" t="n">
        <x:v>25559.2</x:v>
      </x:c>
      <x:c r="E7" s="60" t="n">
        <x:v>122.71</x:v>
      </x:c>
      <x:c r="F7" s="62" t="n">
        <x:v>-0.024864864864864833</x:v>
      </x:c>
      <x:c r="G7" s="62" t="n">
        <x:v>-0.02985991644138597</x:v>
      </x:c>
      <x:c r="H7" s="62" t="n">
        <x:v>-0.13572924620111348</x:v>
      </x:c>
      <x:c r="I7" s="62" t="n">
        <x:v>0.08267160755249692</x:v>
      </x:c>
      <x:c r="K7" t="str">
        <x:v>분석기간</x:v>
      </x:c>
      <x:c r="L7" t="str">
        <x:v>2022-03 ~ 2025-12</x:v>
      </x:c>
      <x:c r="M7" t="str">
        <x:v>46개월</x:v>
      </x:c>
    </x:row>
    <x:row r="8">
      <x:c r="A8" s="58" t="n">
        <x:v>44743</x:v>
      </x:c>
      <x:c r="B8" s="60" t="n">
        <x:v>41.31</x:v>
      </x:c>
      <x:c r="C8" s="60" t="n">
        <x:v>70.88</x:v>
      </x:c>
      <x:c r="D8" s="60" t="n">
        <x:v>20054.29</x:v>
      </x:c>
      <x:c r="E8" s="60" t="n">
        <x:v>111.93</x:v>
      </x:c>
      <x:c r="F8" s="62" t="n">
        <x:v>-0.0840354767184035</x:v>
      </x:c>
      <x:c r="G8" s="62" t="n">
        <x:v>-0.10221659278024076</x:v>
      </x:c>
      <x:c r="H8" s="62" t="n">
        <x:v>-0.2153788068484146</x:v>
      </x:c>
      <x:c r="I8" s="62" t="n">
        <x:v>-0.08784940102681105</x:v>
      </x:c>
    </x:row>
    <x:row r="9">
      <x:c r="A9" s="58" t="n">
        <x:v>44774</x:v>
      </x:c>
      <x:c r="B9" s="60" t="n">
        <x:v>37.38</x:v>
      </x:c>
      <x:c r="C9" s="60" t="n">
        <x:v>64.13</x:v>
      </x:c>
      <x:c r="D9" s="60" t="n">
        <x:v>17004.91</x:v>
      </x:c>
      <x:c r="E9" s="60" t="n">
        <x:v>100.45</x:v>
      </x:c>
      <x:c r="F9" s="62" t="n">
        <x:v>-0.09513435003631077</x:v>
      </x:c>
      <x:c r="G9" s="62" t="n">
        <x:v>-0.09523137697516926</x:v>
      </x:c>
      <x:c r="H9" s="62" t="n">
        <x:v>-0.15205624332748757</x:v>
      </x:c>
      <x:c r="I9" s="62" t="n">
        <x:v>-0.10256410256410264</x:v>
      </x:c>
      <x:c r="K9" t="str">
        <x:v>MVP 해석</x:v>
      </x:c>
      <x:c r="L9"/>
      <x:c r="M9"/>
    </x:row>
    <x:row r="10">
      <x:c r="A10" s="58" t="n">
        <x:v>44805</x:v>
      </x:c>
      <x:c r="B10" s="60" t="n">
        <x:v>35.1</x:v>
      </x:c>
      <x:c r="C10" s="60" t="n">
        <x:v>59.7</x:v>
      </x:c>
      <x:c r="D10" s="60" t="n">
        <x:v>17444.4</x:v>
      </x:c>
      <x:c r="E10" s="60" t="n">
        <x:v>89.76</x:v>
      </x:c>
      <x:c r="F10" s="62" t="n">
        <x:v>-0.0609951845906902</x:v>
      </x:c>
      <x:c r="G10" s="62" t="n">
        <x:v>-0.06907843443006378</x:v>
      </x:c>
      <x:c r="H10" s="62" t="n">
        <x:v>0.025844888329312088</x:v>
      </x:c>
      <x:c r="I10" s="62" t="n">
        <x:v>-0.10642110502737678</x:v>
      </x:c>
      <x:c r="K10" t="str">
        <x:v>현재가격</x:v>
      </x:c>
      <x:c r="L10" t="str">
        <x:v>마지막 관측월 가격을 분석시점 proxy로 사용</x:v>
      </x:c>
      <x:c r="M10"/>
    </x:row>
    <x:row r="11">
      <x:c r="A11" s="58" t="n">
        <x:v>44835</x:v>
      </x:c>
      <x:c r="B11" s="60" t="n">
        <x:v>36.38</x:v>
      </x:c>
      <x:c r="C11" s="60" t="n">
        <x:v>62.56</x:v>
      </x:c>
      <x:c r="D11" s="60" t="n">
        <x:v>19609.26</x:v>
      </x:c>
      <x:c r="E11" s="60" t="n">
        <x:v>93.33</x:v>
      </x:c>
      <x:c r="F11" s="62" t="n">
        <x:v>0.036467236467236486</x:v>
      </x:c>
      <x:c r="G11" s="62" t="n">
        <x:v>0.04790619765494131</x:v>
      </x:c>
      <x:c r="H11" s="62" t="n">
        <x:v>0.12410057095686855</x:v>
      </x:c>
      <x:c r="I11" s="62" t="n">
        <x:v>0.03977272727272729</x:v>
      </x:c>
      <x:c r="K11" t="str">
        <x:v>미래경로</x:v>
      </x:c>
      <x:c r="L11" t="str">
        <x:v>과거 실제 월별 공동 변동률을 현재 가격에 순차 적용</x:v>
      </x:c>
      <x:c r="M11"/>
    </x:row>
    <x:row r="12">
      <x:c r="A12" s="58" t="n">
        <x:v>44866</x:v>
      </x:c>
      <x:c r="B12" s="60" t="n">
        <x:v>33.75</x:v>
      </x:c>
      <x:c r="C12" s="60" t="n">
        <x:v>57.83</x:v>
      </x:c>
      <x:c r="D12" s="60" t="n">
        <x:v>15318.95</x:v>
      </x:c>
      <x:c r="E12" s="60" t="n">
        <x:v>91.42</x:v>
      </x:c>
      <x:c r="F12" s="62" t="n">
        <x:v>-0.07229246838922487</x:v>
      </x:c>
      <x:c r="G12" s="62" t="n">
        <x:v>-0.07560741687979544</x:v>
      </x:c>
      <x:c r="H12" s="62" t="n">
        <x:v>-0.21879000023458295</x:v>
      </x:c>
      <x:c r="I12" s="62" t="n">
        <x:v>-0.02046501660773592</x:v>
      </x:c>
      <x:c r="K12" t="str">
        <x:v>핵심</x:v>
      </x:c>
      <x:c r="L12" t="str">
        <x:v>변동성이 큰 시기와 변수 간 동시 움직임이 시나리오에 그대로 반영</x:v>
      </x:c>
      <x:c r="M12"/>
    </x:row>
    <x:row r="13">
      <x:c r="A13" s="58" t="n">
        <x:v>44896</x:v>
      </x:c>
      <x:c r="B13" s="60" t="n">
        <x:v>31.94</x:v>
      </x:c>
      <x:c r="C13" s="60" t="n">
        <x:v>56.81</x:v>
      </x:c>
      <x:c r="D13" s="60" t="n">
        <x:v>14657.65</x:v>
      </x:c>
      <x:c r="E13" s="60" t="n">
        <x:v>80.92</x:v>
      </x:c>
      <x:c r="F13" s="62" t="n">
        <x:v>-0.05362962962962958</x:v>
      </x:c>
      <x:c r="G13" s="62" t="n">
        <x:v>-0.0176379042019712</x:v>
      </x:c>
      <x:c r="H13" s="62" t="n">
        <x:v>-0.043168755038693996</x:v>
      </x:c>
      <x:c r="I13" s="62" t="n">
        <x:v>-0.11485451761102605</x:v>
      </x:c>
    </x:row>
    <x:row r="14">
      <x:c r="A14" s="58" t="n">
        <x:v>44927</x:v>
      </x:c>
      <x:c r="B14" s="60" t="n">
        <x:v>28.81</x:v>
      </x:c>
      <x:c r="C14" s="60" t="n">
        <x:v>52.31</x:v>
      </x:c>
      <x:c r="D14" s="60" t="n">
        <x:v>10611.37</x:v>
      </x:c>
      <x:c r="E14" s="60" t="n">
        <x:v>82.5</x:v>
      </x:c>
      <x:c r="F14" s="62" t="n">
        <x:v>-0.09799624295554177</x:v>
      </x:c>
      <x:c r="G14" s="62" t="n">
        <x:v>-0.07921140644252767</x:v>
      </x:c>
      <x:c r="H14" s="62" t="n">
        <x:v>-0.2760524367821581</x:v>
      </x:c>
      <x:c r="I14" s="62" t="n">
        <x:v>0.01952545724172028</x:v>
      </x:c>
    </x:row>
    <x:row r="15">
      <x:c r="A15" s="58" t="n">
        <x:v>44958</x:v>
      </x:c>
      <x:c r="B15" s="60" t="n">
        <x:v>27.06</x:v>
      </x:c>
      <x:c r="C15" s="60" t="n">
        <x:v>48.56</x:v>
      </x:c>
      <x:c r="D15" s="60" t="n">
        <x:v>9781.6</x:v>
      </x:c>
      <x:c r="E15" s="60" t="n">
        <x:v>82.59</x:v>
      </x:c>
      <x:c r="F15" s="62" t="n">
        <x:v>-0.06074279763970847</x:v>
      </x:c>
      <x:c r="G15" s="62" t="n">
        <x:v>-0.07168801376409861</x:v>
      </x:c>
      <x:c r="H15" s="62" t="n">
        <x:v>-0.07819631206903543</x:v>
      </x:c>
      <x:c r="I15" s="62" t="n">
        <x:v>0.0010909090909090313</x:v>
      </x:c>
    </x:row>
    <x:row r="16">
      <x:c r="A16" s="58" t="n">
        <x:v>44986</x:v>
      </x:c>
      <x:c r="B16" s="60" t="n">
        <x:v>29.3</x:v>
      </x:c>
      <x:c r="C16" s="60" t="n">
        <x:v>52.5</x:v>
      </x:c>
      <x:c r="D16" s="60" t="n">
        <x:v>14990.86</x:v>
      </x:c>
      <x:c r="E16" s="60" t="n">
        <x:v>78.43</x:v>
      </x:c>
      <x:c r="F16" s="62" t="n">
        <x:v>0.08277900960827789</x:v>
      </x:c>
      <x:c r="G16" s="62" t="n">
        <x:v>0.08113673805601307</x:v>
      </x:c>
      <x:c r="H16" s="62" t="n">
        <x:v>0.5325570458820643</x:v>
      </x:c>
      <x:c r="I16" s="62" t="n">
        <x:v>-0.050369294103402296</x:v>
      </x:c>
    </x:row>
    <x:row r="17">
      <x:c r="A17" s="58" t="n">
        <x:v>45017</x:v>
      </x:c>
      <x:c r="B17" s="60" t="n">
        <x:v>30</x:v>
      </x:c>
      <x:c r="C17" s="60" t="n">
        <x:v>55.19</x:v>
      </x:c>
      <x:c r="D17" s="60" t="n">
        <x:v>15237.55</x:v>
      </x:c>
      <x:c r="E17" s="60" t="n">
        <x:v>84.64</x:v>
      </x:c>
      <x:c r="F17" s="62" t="n">
        <x:v>0.023890784982935065</x:v>
      </x:c>
      <x:c r="G17" s="62" t="n">
        <x:v>0.051238095238095305</x:v>
      </x:c>
      <x:c r="H17" s="62" t="n">
        <x:v>0.01645602720591066</x:v>
      </x:c>
      <x:c r="I17" s="62" t="n">
        <x:v>0.07917888563049846</x:v>
      </x:c>
    </x:row>
    <x:row r="18">
      <x:c r="A18" s="58" t="n">
        <x:v>45047</x:v>
      </x:c>
      <x:c r="B18" s="60" t="n">
        <x:v>28.56</x:v>
      </x:c>
      <x:c r="C18" s="60" t="n">
        <x:v>51.38</x:v>
      </x:c>
      <x:c r="D18" s="60" t="n">
        <x:v>12357.65</x:v>
      </x:c>
      <x:c r="E18" s="60" t="n">
        <x:v>75.47</x:v>
      </x:c>
      <x:c r="F18" s="62" t="n">
        <x:v>-0.04800000000000004</x:v>
      </x:c>
      <x:c r="G18" s="62" t="n">
        <x:v>-0.06903424533429958</x:v>
      </x:c>
      <x:c r="H18" s="62" t="n">
        <x:v>-0.18900020016341212</x:v>
      </x:c>
      <x:c r="I18" s="62" t="n">
        <x:v>-0.10834120982986772</x:v>
      </x:c>
    </x:row>
    <x:row r="19">
      <x:c r="A19" s="58" t="n">
        <x:v>45078</x:v>
      </x:c>
      <x:c r="B19" s="60" t="n">
        <x:v>26.5</x:v>
      </x:c>
      <x:c r="C19" s="60" t="n">
        <x:v>48.1</x:v>
      </x:c>
      <x:c r="D19" s="60" t="n">
        <x:v>10691.71</x:v>
      </x:c>
      <x:c r="E19" s="60" t="n">
        <x:v>74.84</x:v>
      </x:c>
      <x:c r="F19" s="62" t="n">
        <x:v>-0.07212885154061621</x:v>
      </x:c>
      <x:c r="G19" s="62" t="n">
        <x:v>-0.06383806928766056</x:v>
      </x:c>
      <x:c r="H19" s="62" t="n">
        <x:v>-0.13481042107520447</x:v>
      </x:c>
      <x:c r="I19" s="62" t="n">
        <x:v>-0.008347687822975902</x:v>
      </x:c>
    </x:row>
    <x:row r="20">
      <x:c r="A20" s="58" t="n">
        <x:v>45108</x:v>
      </x:c>
      <x:c r="B20" s="60" t="n">
        <x:v>25.44</x:v>
      </x:c>
      <x:c r="C20" s="60" t="n">
        <x:v>46.13</x:v>
      </x:c>
      <x:c r="D20" s="60" t="n">
        <x:v>9536.95</x:v>
      </x:c>
      <x:c r="E20" s="60" t="n">
        <x:v>80.11</x:v>
      </x:c>
      <x:c r="F20" s="62" t="n">
        <x:v>-0.039999999999999925</x:v>
      </x:c>
      <x:c r="G20" s="62" t="n">
        <x:v>-0.04095634095634093</x:v>
      </x:c>
      <x:c r="H20" s="62" t="n">
        <x:v>-0.10800517410217814</x:v>
      </x:c>
      <x:c r="I20" s="62" t="n">
        <x:v>0.0704168893639765</x:v>
      </x:c>
    </x:row>
    <x:row r="21">
      <x:c r="A21" s="58" t="n">
        <x:v>45139</x:v>
      </x:c>
      <x:c r="B21" s="60" t="n">
        <x:v>27.1</x:v>
      </x:c>
      <x:c r="C21" s="60" t="n">
        <x:v>50.4</x:v>
      </x:c>
      <x:c r="D21" s="60" t="n">
        <x:v>11490.5</x:v>
      </x:c>
      <x:c r="E21" s="60" t="n">
        <x:v>86.15</x:v>
      </x:c>
      <x:c r="F21" s="62" t="n">
        <x:v>0.06525157232704393</x:v>
      </x:c>
      <x:c r="G21" s="62" t="n">
        <x:v>0.09256449165402114</x:v>
      </x:c>
      <x:c r="H21" s="62" t="n">
        <x:v>0.2048401218418885</x:v>
      </x:c>
      <x:c r="I21" s="62" t="n">
        <x:v>0.07539633004618662</x:v>
      </x:c>
    </x:row>
    <x:row r="22">
      <x:c r="A22" s="58" t="n">
        <x:v>45170</x:v>
      </x:c>
      <x:c r="B22" s="60" t="n">
        <x:v>29.75</x:v>
      </x:c>
      <x:c r="C22" s="60" t="n">
        <x:v>55.75</x:v>
      </x:c>
      <x:c r="D22" s="60" t="n">
        <x:v>14499.89</x:v>
      </x:c>
      <x:c r="E22" s="60" t="n">
        <x:v>93.72</x:v>
      </x:c>
      <x:c r="F22" s="62" t="n">
        <x:v>0.0977859778597785</x:v>
      </x:c>
      <x:c r="G22" s="62" t="n">
        <x:v>0.10615079365079372</x:v>
      </x:c>
      <x:c r="H22" s="62" t="n">
        <x:v>0.26190244114703454</x:v>
      </x:c>
      <x:c r="I22" s="62" t="n">
        <x:v>0.08786999419616937</x:v>
      </x:c>
    </x:row>
    <x:row r="23">
      <x:c r="A23" s="58" t="n">
        <x:v>45200</x:v>
      </x:c>
      <x:c r="B23" s="60" t="n">
        <x:v>29.94</x:v>
      </x:c>
      <x:c r="C23" s="60" t="n">
        <x:v>57.13</x:v>
      </x:c>
      <x:c r="D23" s="60" t="n">
        <x:v>15522.47</x:v>
      </x:c>
      <x:c r="E23" s="60" t="n">
        <x:v>90.6</x:v>
      </x:c>
      <x:c r="F23" s="62" t="n">
        <x:v>0.006386554621848672</x:v>
      </x:c>
      <x:c r="G23" s="62" t="n">
        <x:v>0.024753363228699587</x:v>
      </x:c>
      <x:c r="H23" s="62" t="n">
        <x:v>0.07052329362498622</x:v>
      </x:c>
      <x:c r="I23" s="62" t="n">
        <x:v>-0.033290653008962945</x:v>
      </x:c>
    </x:row>
    <x:row r="24">
      <x:c r="A24" s="58" t="n">
        <x:v>45231</x:v>
      </x:c>
      <x:c r="B24" s="60" t="n">
        <x:v>29.94</x:v>
      </x:c>
      <x:c r="C24" s="60" t="n">
        <x:v>57.94</x:v>
      </x:c>
      <x:c r="D24" s="60" t="n">
        <x:v>16229.1</x:v>
      </x:c>
      <x:c r="E24" s="60" t="n">
        <x:v>82.94</x:v>
      </x:c>
      <x:c r="F24" s="62" t="n">
        <x:v>0</x:v>
      </x:c>
      <x:c r="G24" s="62" t="n">
        <x:v>0.014178190092770881</x:v>
      </x:c>
      <x:c r="H24" s="62" t="n">
        <x:v>0.0455230385370371</x:v>
      </x:c>
      <x:c r="I24" s="62" t="n">
        <x:v>-0.08454746136865343</x:v>
      </x:c>
    </x:row>
    <x:row r="25">
      <x:c r="A25" s="58" t="n">
        <x:v>45261</x:v>
      </x:c>
      <x:c r="B25" s="60" t="n">
        <x:v>32.17</x:v>
      </x:c>
      <x:c r="C25" s="60" t="n">
        <x:v>61.75</x:v>
      </x:c>
      <x:c r="D25" s="60" t="n">
        <x:v>18940.88</x:v>
      </x:c>
      <x:c r="E25" s="60" t="n">
        <x:v>77.63</x:v>
      </x:c>
      <x:c r="F25" s="62" t="n">
        <x:v>0.0744822979291917</x:v>
      </x:c>
      <x:c r="G25" s="62" t="n">
        <x:v>0.0657576803589921</x:v>
      </x:c>
      <x:c r="H25" s="62" t="n">
        <x:v>0.16709367740663383</x:v>
      </x:c>
      <x:c r="I25" s="62" t="n">
        <x:v>-0.06402218471183996</x:v>
      </x:c>
    </x:row>
    <x:row r="26">
      <x:c r="A26" s="58" t="n">
        <x:v>45292</x:v>
      </x:c>
      <x:c r="B26" s="60" t="n">
        <x:v>31.06</x:v>
      </x:c>
      <x:c r="C26" s="60" t="n">
        <x:v>58.82</x:v>
      </x:c>
      <x:c r="D26" s="60" t="n">
        <x:v>14701</x:v>
      </x:c>
      <x:c r="E26" s="60" t="n">
        <x:v>80.12</x:v>
      </x:c>
      <x:c r="F26" s="62" t="n">
        <x:v>-0.03450419645632585</x:v>
      </x:c>
      <x:c r="G26" s="62" t="n">
        <x:v>-0.04744939271255055</x:v>
      </x:c>
      <x:c r="H26" s="62" t="n">
        <x:v>-0.22384809998268296</x:v>
      </x:c>
      <x:c r="I26" s="62" t="n">
        <x:v>0.03207522864871848</x:v>
      </x:c>
    </x:row>
    <x:row r="27">
      <x:c r="A27" s="58" t="n">
        <x:v>45323</x:v>
      </x:c>
      <x:c r="B27" s="60" t="n">
        <x:v>32</x:v>
      </x:c>
      <x:c r="C27" s="60" t="n">
        <x:v>59</x:v>
      </x:c>
      <x:c r="D27" s="60" t="n">
        <x:v>15639.63</x:v>
      </x:c>
      <x:c r="E27" s="60" t="n">
        <x:v>83.48</x:v>
      </x:c>
      <x:c r="F27" s="62" t="n">
        <x:v>0.030264005151320106</x:v>
      </x:c>
      <x:c r="G27" s="62" t="n">
        <x:v>0.003060183611016676</x:v>
      </x:c>
      <x:c r="H27" s="62" t="n">
        <x:v>0.06384803754846602</x:v>
      </x:c>
      <x:c r="I27" s="62" t="n">
        <x:v>0.04193709435846227</x:v>
      </x:c>
    </x:row>
    <x:row r="28">
      <x:c r="A28" s="58" t="n">
        <x:v>45352</x:v>
      </x:c>
      <x:c r="B28" s="60" t="n">
        <x:v>33</x:v>
      </x:c>
      <x:c r="C28" s="60" t="n">
        <x:v>62</x:v>
      </x:c>
      <x:c r="D28" s="60" t="n">
        <x:v>19431.65</x:v>
      </x:c>
      <x:c r="E28" s="60" t="n">
        <x:v>85.41</x:v>
      </x:c>
      <x:c r="F28" s="62" t="n">
        <x:v>0.03125</x:v>
      </x:c>
      <x:c r="G28" s="62" t="n">
        <x:v>0.05084745762711873</x:v>
      </x:c>
      <x:c r="H28" s="62" t="n">
        <x:v>0.24246225773883423</x:v>
      </x:c>
      <x:c r="I28" s="62" t="n">
        <x:v>0.023119310014374506</x:v>
      </x:c>
    </x:row>
    <x:row r="29">
      <x:c r="A29" s="58" t="n">
        <x:v>45383</x:v>
      </x:c>
      <x:c r="B29" s="60" t="n">
        <x:v>33</x:v>
      </x:c>
      <x:c r="C29" s="60" t="n">
        <x:v>61</x:v>
      </x:c>
      <x:c r="D29" s="60" t="n">
        <x:v>16361.62</x:v>
      </x:c>
      <x:c r="E29" s="60" t="n">
        <x:v>89.94</x:v>
      </x:c>
      <x:c r="F29" s="62" t="n">
        <x:v>0</x:v>
      </x:c>
      <x:c r="G29" s="62" t="n">
        <x:v>-0.016129032258064502</x:v>
      </x:c>
      <x:c r="H29" s="62" t="n">
        <x:v>-0.15799121536256577</x:v>
      </x:c>
      <x:c r="I29" s="62" t="n">
        <x:v>0.05303828591499826</x:v>
      </x:c>
    </x:row>
    <x:row r="30">
      <x:c r="A30" s="58" t="n">
        <x:v>45413</x:v>
      </x:c>
      <x:c r="B30" s="60" t="n">
        <x:v>33</x:v>
      </x:c>
      <x:c r="C30" s="60" t="n">
        <x:v>62</x:v>
      </x:c>
      <x:c r="D30" s="60" t="n">
        <x:v>18568.25</x:v>
      </x:c>
      <x:c r="E30" s="60" t="n">
        <x:v>81.75</x:v>
      </x:c>
      <x:c r="F30" s="62" t="n">
        <x:v>0</x:v>
      </x:c>
      <x:c r="G30" s="62" t="n">
        <x:v>0.016393442622950838</x:v>
      </x:c>
      <x:c r="H30" s="62" t="n">
        <x:v>0.1348662296276284</x:v>
      </x:c>
      <x:c r="I30" s="62" t="n">
        <x:v>-0.091060707138092</x:v>
      </x:c>
    </x:row>
    <x:row r="31">
      <x:c r="A31" s="58" t="n">
        <x:v>45444</x:v>
      </x:c>
      <x:c r="B31" s="60" t="n">
        <x:v>32</x:v>
      </x:c>
      <x:c r="C31" s="60" t="n">
        <x:v>60</x:v>
      </x:c>
      <x:c r="D31" s="60" t="n">
        <x:v>17108.26</x:v>
      </x:c>
      <x:c r="E31" s="60" t="n">
        <x:v>82.25</x:v>
      </x:c>
      <x:c r="F31" s="62" t="n">
        <x:v>-0.030303030303030276</x:v>
      </x:c>
      <x:c r="G31" s="62" t="n">
        <x:v>-0.032258064516129004</x:v>
      </x:c>
      <x:c r="H31" s="62" t="n">
        <x:v>-0.07862830369043938</x:v>
      </x:c>
      <x:c r="I31" s="62" t="n">
        <x:v>0.006116207951070374</x:v>
      </x:c>
    </x:row>
    <x:row r="32">
      <x:c r="A32" s="58" t="n">
        <x:v>45474</x:v>
      </x:c>
      <x:c r="B32" s="60" t="n">
        <x:v>32</x:v>
      </x:c>
      <x:c r="C32" s="60" t="n">
        <x:v>60</x:v>
      </x:c>
      <x:c r="D32" s="60" t="n">
        <x:v>15414</x:v>
      </x:c>
      <x:c r="E32" s="60" t="n">
        <x:v>85.15</x:v>
      </x:c>
      <x:c r="F32" s="62" t="n">
        <x:v>0</x:v>
      </x:c>
      <x:c r="G32" s="62" t="n">
        <x:v>0</x:v>
      </x:c>
      <x:c r="H32" s="62" t="n">
        <x:v>-0.09903169580074178</x:v>
      </x:c>
      <x:c r="I32" s="62" t="n">
        <x:v>0.035258358662614064</x:v>
      </x:c>
    </x:row>
    <x:row r="33">
      <x:c r="A33" s="58" t="n">
        <x:v>45505</x:v>
      </x:c>
      <x:c r="B33" s="60" t="n">
        <x:v>31</x:v>
      </x:c>
      <x:c r="C33" s="60" t="n">
        <x:v>59</x:v>
      </x:c>
      <x:c r="D33" s="60" t="n">
        <x:v>14765.71</x:v>
      </x:c>
      <x:c r="E33" s="60" t="n">
        <x:v>80.36</x:v>
      </x:c>
      <x:c r="F33" s="62" t="n">
        <x:v>-0.03125</x:v>
      </x:c>
      <x:c r="G33" s="62" t="n">
        <x:v>-0.01666666666666672</x:v>
      </x:c>
      <x:c r="H33" s="62" t="n">
        <x:v>-0.042058518230180364</x:v>
      </x:c>
      <x:c r="I33" s="62" t="n">
        <x:v>-0.056253669994128064</x:v>
      </x:c>
    </x:row>
    <x:row r="34">
      <x:c r="A34" s="58" t="n">
        <x:v>45536</x:v>
      </x:c>
      <x:c r="B34" s="60" t="n">
        <x:v>30</x:v>
      </x:c>
      <x:c r="C34" s="60" t="n">
        <x:v>56</x:v>
      </x:c>
      <x:c r="D34" s="60" t="n">
        <x:v>13967.89</x:v>
      </x:c>
      <x:c r="E34" s="60" t="n">
        <x:v>74.02</x:v>
      </x:c>
      <x:c r="F34" s="62" t="n">
        <x:v>-0.032258064516129004</x:v>
      </x:c>
      <x:c r="G34" s="62" t="n">
        <x:v>-0.05084745762711862</x:v>
      </x:c>
      <x:c r="H34" s="62" t="n">
        <x:v>-0.054031942927228016</x:v>
      </x:c>
      <x:c r="I34" s="62" t="n">
        <x:v>-0.07889497262319567</x:v>
      </x:c>
    </x:row>
    <x:row r="35">
      <x:c r="A35" s="58" t="n">
        <x:v>45566</x:v>
      </x:c>
      <x:c r="B35" s="60" t="n">
        <x:v>30</x:v>
      </x:c>
      <x:c r="C35" s="60" t="n">
        <x:v>54</x:v>
      </x:c>
      <x:c r="D35" s="60" t="n">
        <x:v>13432.05</x:v>
      </x:c>
      <x:c r="E35" s="60" t="n">
        <x:v>75.63</x:v>
      </x:c>
      <x:c r="F35" s="62" t="n">
        <x:v>0</x:v>
      </x:c>
      <x:c r="G35" s="62" t="n">
        <x:v>-0.0357142857142857</x:v>
      </x:c>
      <x:c r="H35" s="62" t="n">
        <x:v>-0.038362272326027735</x:v>
      </x:c>
      <x:c r="I35" s="62" t="n">
        <x:v>0.02175087814104293</x:v>
      </x:c>
    </x:row>
    <x:row r="36">
      <x:c r="A36" s="58" t="n">
        <x:v>45597</x:v>
      </x:c>
      <x:c r="B36" s="60" t="n">
        <x:v>29</x:v>
      </x:c>
      <x:c r="C36" s="60" t="n">
        <x:v>50</x:v>
      </x:c>
      <x:c r="D36" s="60" t="n">
        <x:v>11645.38</x:v>
      </x:c>
      <x:c r="E36" s="60" t="n">
        <x:v>74.35</x:v>
      </x:c>
      <x:c r="F36" s="62" t="n">
        <x:v>-0.033333333333333326</x:v>
      </x:c>
      <x:c r="G36" s="62" t="n">
        <x:v>-0.07407407407407407</x:v>
      </x:c>
      <x:c r="H36" s="62" t="n">
        <x:v>-0.13301543695861762</x:v>
      </x:c>
      <x:c r="I36" s="62" t="n">
        <x:v>-0.0169245008594473</x:v>
      </x:c>
    </x:row>
    <x:row r="37">
      <x:c r="A37" s="58" t="n">
        <x:v>45627</x:v>
      </x:c>
      <x:c r="B37" s="60" t="n">
        <x:v>28</x:v>
      </x:c>
      <x:c r="C37" s="60" t="n">
        <x:v>46</x:v>
      </x:c>
      <x:c r="D37" s="60" t="n">
        <x:v>9539.47</x:v>
      </x:c>
      <x:c r="E37" s="60" t="n">
        <x:v>73.86</x:v>
      </x:c>
      <x:c r="F37" s="62" t="n">
        <x:v>-0.03448275862068961</x:v>
      </x:c>
      <x:c r="G37" s="62" t="n">
        <x:v>-0.07999999999999996</x:v>
      </x:c>
      <x:c r="H37" s="62" t="n">
        <x:v>-0.18083652057725896</x:v>
      </x:c>
      <x:c r="I37" s="62" t="n">
        <x:v>-0.006590450571620665</x:v>
      </x:c>
    </x:row>
    <x:row r="38">
      <x:c r="A38" s="58" t="n">
        <x:v>45658</x:v>
      </x:c>
      <x:c r="B38" s="60" t="n">
        <x:v>26</x:v>
      </x:c>
      <x:c r="C38" s="60" t="n">
        <x:v>46</x:v>
      </x:c>
      <x:c r="D38" s="60" t="n">
        <x:v>7559.44</x:v>
      </x:c>
      <x:c r="E38" s="60" t="n">
        <x:v>79.27</x:v>
      </x:c>
      <x:c r="F38" s="62" t="n">
        <x:v>-0.0714285714285714</x:v>
      </x:c>
      <x:c r="G38" s="62" t="n">
        <x:v>0</x:v>
      </x:c>
      <x:c r="H38" s="62" t="n">
        <x:v>-0.20756184567905767</x:v>
      </x:c>
      <x:c r="I38" s="62" t="n">
        <x:v>0.07324668291362024</x:v>
      </x:c>
    </x:row>
    <x:row r="39">
      <x:c r="A39" s="58" t="n">
        <x:v>45689</x:v>
      </x:c>
      <x:c r="B39" s="60" t="n">
        <x:v>27</x:v>
      </x:c>
      <x:c r="C39" s="60" t="n">
        <x:v>46</x:v>
      </x:c>
      <x:c r="D39" s="60" t="n">
        <x:v>9692.25</x:v>
      </x:c>
      <x:c r="E39" s="60" t="n">
        <x:v>75.44</x:v>
      </x:c>
      <x:c r="F39" s="62" t="n">
        <x:v>0.03846153846153855</x:v>
      </x:c>
      <x:c r="G39" s="62" t="n">
        <x:v>0</x:v>
      </x:c>
      <x:c r="H39" s="62" t="n">
        <x:v>0.28213862402506007</x:v>
      </x:c>
      <x:c r="I39" s="62" t="n">
        <x:v>-0.04831588242714768</x:v>
      </x:c>
    </x:row>
    <x:row r="40">
      <x:c r="A40" s="58" t="n">
        <x:v>45717</x:v>
      </x:c>
      <x:c r="B40" s="60" t="n">
        <x:v>27.38</x:v>
      </x:c>
      <x:c r="C40" s="60" t="n">
        <x:v>46.94</x:v>
      </x:c>
      <x:c r="D40" s="60" t="n">
        <x:v>11474.45</x:v>
      </x:c>
      <x:c r="E40" s="60" t="n">
        <x:v>72.73</x:v>
      </x:c>
      <x:c r="F40" s="62" t="n">
        <x:v>0.014074074074074128</x:v>
      </x:c>
      <x:c r="G40" s="62" t="n">
        <x:v>0.02043478260869569</x:v>
      </x:c>
      <x:c r="H40" s="62" t="n">
        <x:v>0.18387887229487476</x:v>
      </x:c>
      <x:c r="I40" s="62" t="n">
        <x:v>-0.03592258748674437</x:v>
      </x:c>
    </x:row>
    <x:row r="41">
      <x:c r="A41" s="58" t="n">
        <x:v>45748</x:v>
      </x:c>
      <x:c r="B41" s="60" t="n">
        <x:v>27</x:v>
      </x:c>
      <x:c r="C41" s="60" t="n">
        <x:v>46</x:v>
      </x:c>
      <x:c r="D41" s="60" t="n">
        <x:v>12724.27</x:v>
      </x:c>
      <x:c r="E41" s="60" t="n">
        <x:v>68.13</x:v>
      </x:c>
      <x:c r="F41" s="62" t="n">
        <x:v>-0.013878743608473298</x:v>
      </x:c>
      <x:c r="G41" s="62" t="n">
        <x:v>-0.020025564550489983</x:v>
      </x:c>
      <x:c r="H41" s="62" t="n">
        <x:v>0.10892199626125865</x:v>
      </x:c>
      <x:c r="I41" s="62" t="n">
        <x:v>-0.06324762821394214</x:v>
      </x:c>
    </x:row>
    <x:row r="42">
      <x:c r="A42" s="58" t="n">
        <x:v>45778</x:v>
      </x:c>
      <x:c r="B42" s="60" t="n">
        <x:v>27.05</x:v>
      </x:c>
      <x:c r="C42" s="60" t="n">
        <x:v>46.2</x:v>
      </x:c>
      <x:c r="D42" s="60" t="n">
        <x:v>11432.74</x:v>
      </x:c>
      <x:c r="E42" s="60" t="n">
        <x:v>64.45</x:v>
      </x:c>
      <x:c r="F42" s="62" t="n">
        <x:v>0.0018518518518517713</x:v>
      </x:c>
      <x:c r="G42" s="62" t="n">
        <x:v>0.004347826086956497</x:v>
      </x:c>
      <x:c r="H42" s="62" t="n">
        <x:v>-0.10150130420055536</x:v>
      </x:c>
      <x:c r="I42" s="62" t="n">
        <x:v>-0.05401438426537486</x:v>
      </x:c>
    </x:row>
    <x:row r="43">
      <x:c r="A43" s="58" t="n">
        <x:v>45809</x:v>
      </x:c>
      <x:c r="B43" s="60" t="n">
        <x:v>27</x:v>
      </x:c>
      <x:c r="C43" s="60" t="n">
        <x:v>46.88</x:v>
      </x:c>
      <x:c r="D43" s="60" t="n">
        <x:v>12041</x:v>
      </x:c>
      <x:c r="E43" s="60" t="n">
        <x:v>71.44</x:v>
      </x:c>
      <x:c r="F43" s="62" t="n">
        <x:v>-0.001848428835489857</x:v>
      </x:c>
      <x:c r="G43" s="62" t="n">
        <x:v>0.014718614718614687</x:v>
      </x:c>
      <x:c r="H43" s="62" t="n">
        <x:v>0.05320334408024685</x:v>
      </x:c>
      <x:c r="I43" s="62" t="n">
        <x:v>0.10845616757176102</x:v>
      </x:c>
    </x:row>
    <x:row r="44">
      <x:c r="A44" s="58" t="n">
        <x:v>45839</x:v>
      </x:c>
      <x:c r="B44" s="60" t="n">
        <x:v>28.8</x:v>
      </x:c>
      <x:c r="C44" s="60" t="n">
        <x:v>51.75</x:v>
      </x:c>
      <x:c r="D44" s="60" t="n">
        <x:v>15450.65</x:v>
      </x:c>
      <x:c r="E44" s="60" t="n">
        <x:v>71.04</x:v>
      </x:c>
      <x:c r="F44" s="62" t="n">
        <x:v>0.06666666666666665</x:v>
      </x:c>
      <x:c r="G44" s="62" t="n">
        <x:v>0.10388225255972694</x:v>
      </x:c>
      <x:c r="H44" s="62" t="n">
        <x:v>0.2831700024914874</x:v>
      </x:c>
      <x:c r="I44" s="62" t="n">
        <x:v>-0.005599104143336975</x:v>
      </x:c>
    </x:row>
    <x:row r="45">
      <x:c r="A45" s="58" t="n">
        <x:v>45870</x:v>
      </x:c>
      <x:c r="B45" s="60" t="n">
        <x:v>28.81</x:v>
      </x:c>
      <x:c r="C45" s="60" t="n">
        <x:v>54.19</x:v>
      </x:c>
      <x:c r="D45" s="60" t="n">
        <x:v>15669.9</x:v>
      </x:c>
      <x:c r="E45" s="60" t="n">
        <x:v>67.87</x:v>
      </x:c>
      <x:c r="F45" s="62" t="n">
        <x:v>0.00034722222222205446</x:v>
      </x:c>
      <x:c r="G45" s="62" t="n">
        <x:v>0.047149758454106294</x:v>
      </x:c>
      <x:c r="H45" s="62" t="n">
        <x:v>0.01419034150666798</x:v>
      </x:c>
      <x:c r="I45" s="62" t="n">
        <x:v>-0.04462274774774777</x:v>
      </x:c>
    </x:row>
    <x:row r="46">
      <x:c r="A46" s="58" t="n">
        <x:v>45901</x:v>
      </x:c>
      <x:c r="B46" s="60" t="n">
        <x:v>29.63</x:v>
      </x:c>
      <x:c r="C46" s="60" t="n">
        <x:v>57.13</x:v>
      </x:c>
      <x:c r="D46" s="60" t="n">
        <x:v>17172.09</x:v>
      </x:c>
      <x:c r="E46" s="60" t="n">
        <x:v>67.99</x:v>
      </x:c>
      <x:c r="F46" s="62" t="n">
        <x:v>0.028462339465463282</x:v>
      </x:c>
      <x:c r="G46" s="62" t="n">
        <x:v>0.054253552315925546</x:v>
      </x:c>
      <x:c r="H46" s="62" t="n">
        <x:v>0.09586468324622377</x:v>
      </x:c>
      <x:c r="I46" s="62" t="n">
        <x:v>0.0017680860468540782</x:v>
      </x:c>
    </x:row>
    <x:row r="47">
      <x:c r="A47" s="58" t="n">
        <x:v>45931</x:v>
      </x:c>
      <x:c r="B47" s="60" t="n">
        <x:v>29.65</x:v>
      </x:c>
      <x:c r="C47" s="60" t="n">
        <x:v>56.8</x:v>
      </x:c>
      <x:c r="D47" s="60" t="n">
        <x:v>18411.06</x:v>
      </x:c>
      <x:c r="E47" s="60" t="n">
        <x:v>64.54</x:v>
      </x:c>
      <x:c r="F47" s="62" t="n">
        <x:v>0.0006749915626054204</x:v>
      </x:c>
      <x:c r="G47" s="62" t="n">
        <x:v>-0.005776299667425211</x:v>
      </x:c>
      <x:c r="H47" s="62" t="n">
        <x:v>0.07215021584443138</x:v>
      </x:c>
      <x:c r="I47" s="62" t="n">
        <x:v>-0.050742756287689206</x:v>
      </x:c>
    </x:row>
    <x:row r="48">
      <x:c r="A48" s="58" t="n">
        <x:v>45962</x:v>
      </x:c>
      <x:c r="B48" s="60" t="n">
        <x:v>29.15</x:v>
      </x:c>
      <x:c r="C48" s="60" t="n">
        <x:v>56.5</x:v>
      </x:c>
      <x:c r="D48" s="60" t="n">
        <x:v>18796</x:v>
      </x:c>
      <x:c r="E48" s="60" t="n">
        <x:v>63.8</x:v>
      </x:c>
      <x:c r="F48" s="62" t="n">
        <x:v>-0.016863406408094472</x:v>
      </x:c>
      <x:c r="G48" s="62" t="n">
        <x:v>-0.005281690140845008</x:v>
      </x:c>
      <x:c r="H48" s="62" t="n">
        <x:v>0.020908084596975796</x:v>
      </x:c>
      <x:c r="I48" s="62" t="n">
        <x:v>-0.011465757669662402</x:v>
      </x:c>
    </x:row>
    <x:row r="49">
      <x:c r="A49" s="58" t="n">
        <x:v>45992</x:v>
      </x:c>
      <x:c r="B49" s="60" t="n">
        <x:v>29.08</x:v>
      </x:c>
      <x:c r="C49" s="60" t="n">
        <x:v>55.75</x:v>
      </x:c>
      <x:c r="D49" s="60" t="n">
        <x:v>15672.83</x:v>
      </x:c>
      <x:c r="E49" s="60" t="n">
        <x:v>62.54</x:v>
      </x:c>
      <x:c r="F49" s="62" t="n">
        <x:v>-0.002401372212692987</x:v>
      </x:c>
      <x:c r="G49" s="62" t="n">
        <x:v>-0.013274336283185861</x:v>
      </x:c>
      <x:c r="H49" s="62" t="n">
        <x:v>-0.16616141732283463</x:v>
      </x:c>
      <x:c r="I49" s="62" t="n">
        <x:v>-0.019749216300940398</x:v>
      </x:c>
    </x:row>
  </x:sheetData>
  <x:mergeCells>
    <x:mergeCell ref="A1:I1"/>
    <x:mergeCell ref="K3:M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18" hidden="0" customWidth="1"/>
    <x:col min="5" max="5" width="13" hidden="0" customWidth="1"/>
    <x:col min="6" max="6" width="16" hidden="0" customWidth="1"/>
    <x:col min="7" max="7" width="16" hidden="0" customWidth="1"/>
    <x:col min="8" max="8" width="16" hidden="0" customWidth="1"/>
    <x:col min="9" max="9" width="17" hidden="0" customWidth="1"/>
    <x:col min="10" max="10" width="16" hidden="0" customWidth="1"/>
  </x:cols>
  <x:sheetData>
    <x:row r="1" ht="28" customHeight="1">
      <x:c r="A1" s="5" t="str">
        <x:v>Rolling Historical Path 분석 — 계약기간별 실제 공동변동 경로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5" t="str">
        <x:v>기간(개월)</x:v>
      </x:c>
      <x:c r="B3" s="15" t="str">
        <x:v>경로수</x:v>
      </x:c>
      <x:c r="C3" s="15" t="str">
        <x:v>기준 공헌이익 (100%)</x:v>
      </x:c>
      <x:c r="D3" s="15" t="str">
        <x:v>P10 대표 공헌이익</x:v>
      </x:c>
      <x:c r="E3" s="15" t="str">
        <x:v>P10 공헌이익 유지율</x:v>
      </x:c>
      <x:c r="F3" s="15" t="str">
        <x:v>P10 역사경로</x:v>
      </x:c>
      <x:c r="G3" s="15" t="str">
        <x:v>P90 대표 공헌이익</x:v>
      </x:c>
      <x:c r="H3" s="15" t="str">
        <x:v>P90 공헌이익 유지율</x:v>
      </x:c>
      <x:c r="I3" s="15" t="str">
        <x:v>Worst 공헌이익 유지율</x:v>
      </x:c>
      <x:c r="J3" s="15" t="str">
        <x:v>Best 공헌이익 유지율</x:v>
      </x:c>
    </x:row>
    <x:row r="4">
      <x:c r="A4" t="n">
        <x:v>3</x:v>
      </x:c>
      <x:c r="B4" t="n">
        <x:v>43</x:v>
      </x:c>
      <x:c r="C4" s="66" t="n">
        <x:v>20690251.45</x:v>
      </x:c>
      <x:c r="D4" s="66" t="n">
        <x:v>18914576.20674095</x:v>
      </x:c>
      <x:c r="E4" s="62" t="n">
        <x:v>0.914178169968106</x:v>
      </x:c>
      <x:c r="F4" t="str">
        <x:v>2023-01 ~ 2023-03</x:v>
      </x:c>
      <x:c r="G4" s="66" t="n">
        <x:v>22947547.315317456</x:v>
      </x:c>
      <x:c r="H4" s="62" t="n">
        <x:v>1.1090994892339723</x:v>
      </x:c>
      <x:c r="I4" s="62" t="n">
        <x:v>0.9034575628999919</x:v>
      </x:c>
      <x:c r="J4" s="62" t="n">
        <x:v>1.141899775003845</x:v>
      </x:c>
    </x:row>
    <x:row r="5">
      <x:c r="A5" t="n">
        <x:v>6</x:v>
      </x:c>
      <x:c r="B5" t="n">
        <x:v>40</x:v>
      </x:c>
      <x:c r="C5" s="66" t="n">
        <x:v>42764782.9</x:v>
      </x:c>
      <x:c r="D5" s="66" t="n">
        <x:v>38724599.612374276</x:v>
      </x:c>
      <x:c r="E5" s="62" t="n">
        <x:v>0.9055254577797536</x:v>
      </x:c>
      <x:c r="F5" t="str">
        <x:v>2024-10 ~ 2025-03</x:v>
      </x:c>
      <x:c r="G5" s="66" t="n">
        <x:v>48044263.34050441</x:v>
      </x:c>
      <x:c r="H5" s="62" t="n">
        <x:v>1.123453928267327</x:v>
      </x:c>
      <x:c r="I5" s="62" t="n">
        <x:v>0.8670928141243948</x:v>
      </x:c>
      <x:c r="J5" s="62" t="n">
        <x:v>1.1973522523052116</x:v>
      </x:c>
    </x:row>
    <x:row r="6">
      <x:c r="A6" t="n">
        <x:v>12</x:v>
      </x:c>
      <x:c r="B6" t="n">
        <x:v>34</x:v>
      </x:c>
      <x:c r="C6" s="66" t="n">
        <x:v>82761005.8</x:v>
      </x:c>
      <x:c r="D6" s="66" t="n">
        <x:v>71548409.96763772</x:v>
      </x:c>
      <x:c r="E6" s="62" t="n">
        <x:v>0.8645183716174426</x:v>
      </x:c>
      <x:c r="F6" t="str">
        <x:v>2022-11 ~ 2023-10</x:v>
      </x:c>
      <x:c r="G6" s="66" t="n">
        <x:v>94452488.28674786</x:v>
      </x:c>
      <x:c r="H6" s="62" t="n">
        <x:v>1.1412680086924205</x:v>
      </x:c>
      <x:c r="I6" s="62" t="n">
        <x:v>0.8244955961678541</x:v>
      </x:c>
      <x:c r="J6" s="62" t="n">
        <x:v>1.2404461103279147</x:v>
      </x:c>
    </x:row>
    <x:row r="8">
      <x:c r="A8" t="str">
        <x:v>해석</x:v>
      </x:c>
      <x:c r="B8"/>
      <x:c r="C8"/>
      <x:c r="D8"/>
      <x:c r="E8"/>
      <x:c r="F8"/>
      <x:c r="G8"/>
      <x:c r="H8"/>
      <x:c r="I8"/>
      <x:c r="J8"/>
    </x:row>
    <x:row r="9">
      <x:c r="A9" s="48" t="str">
        <x:v>P10 대표경로</x:v>
      </x:c>
      <x:c r="B9" s="68" t="str">
        <x:v>해당 계약기간의 rolling historical path를 모두 돌린 뒤, 실제 관측 경로 중 하위 약 10%에 해당하는 경로를 대표 Downside로 사용</x:v>
      </x:c>
      <x:c r="C9" s="68"/>
      <x:c r="D9" s="68"/>
      <x:c r="E9" s="68"/>
      <x:c r="F9" s="68"/>
      <x:c r="G9" s="68"/>
      <x:c r="H9" s="68"/>
      <x:c r="I9" s="68"/>
      <x:c r="J9" s="68"/>
    </x:row>
    <x:row r="10">
      <x:c r="A10" s="48" t="str">
        <x:v>P90 대표경로</x:v>
      </x:c>
      <x:c r="B10" s="68" t="str">
        <x:v>같은 방식의 상위 약 10% 경로. 보호수준이 높아질수록 Downside와 함께 Upside도 기준수준으로 수렴하는 것을 보여주는 비교값</x:v>
      </x:c>
      <x:c r="C10" s="68"/>
      <x:c r="D10" s="68"/>
      <x:c r="E10" s="68"/>
      <x:c r="F10" s="68"/>
      <x:c r="G10" s="68"/>
      <x:c r="H10" s="68"/>
      <x:c r="I10" s="68"/>
      <x:c r="J10" s="68"/>
    </x:row>
    <x:row r="13">
      <x:c r="A13" s="44" t="str">
        <x:v>3개월 Rolling Historical Path — 43개 실제 경로</x:v>
      </x:c>
      <x:c r="B13" s="44"/>
      <x:c r="C13" s="44"/>
      <x:c r="D13" s="44"/>
      <x:c r="E13" s="44"/>
      <x:c r="F13" s="44"/>
      <x:c r="G13" s="44"/>
      <x:c r="H13" s="44"/>
      <x:c r="I13" s="44"/>
      <x:c r="J13" s="44"/>
    </x:row>
    <x:row r="14">
      <x:c r="A14" s="15" t="str">
        <x:v>순번</x:v>
      </x:c>
      <x:c r="B14" s="15" t="str">
        <x:v>역사경로 시작</x:v>
      </x:c>
      <x:c r="C14" s="15" t="str">
        <x:v>역사경로 종료</x:v>
      </x:c>
      <x:c r="D14" s="15" t="str">
        <x:v>시장연동 공헌이익</x:v>
      </x:c>
      <x:c r="E14" s="15" t="str">
        <x:v>공헌이익 유지율</x:v>
      </x:c>
      <x:c r="F14" s="15" t="str">
        <x:v>A 영향</x:v>
      </x:c>
      <x:c r="G14" s="15" t="str">
        <x:v>C1 영향</x:v>
      </x:c>
      <x:c r="H14" s="15" t="str">
        <x:v>C2 영향</x:v>
      </x:c>
      <x:c r="I14" s="15" t="str">
        <x:v>D TC-in 영향</x:v>
      </x:c>
      <x:c r="J14" s="15" t="str">
        <x:v>Fuel 영향</x:v>
      </x:c>
    </x:row>
    <x:row r="15">
      <x:c r="A15" t="n">
        <x:v>1</x:v>
      </x:c>
      <x:c r="B15" s="58" t="n">
        <x:v>44652</x:v>
      </x:c>
      <x:c r="C15" s="58" t="n">
        <x:v>44713</x:v>
      </x:c>
      <x:c r="D15" s="66" t="n">
        <x:v>20931368.1337409</x:v>
      </x:c>
      <x:c r="E15" s="62" t="n">
        <x:v>1.011653637188682</x:v>
      </x:c>
      <x:c r="F15" s="66" t="n">
        <x:v>-291511.8792475576</x:v>
      </x:c>
      <x:c r="G15" s="66" t="n">
        <x:v>214995.1925320886</x:v>
      </x:c>
      <x:c r="H15" s="66" t="n">
        <x:v>106093.05373525573</x:v>
      </x:c>
      <x:c r="I15" s="66" t="n">
        <x:v>13092.960644354898</x:v>
      </x:c>
      <x:c r="J15" s="66" t="n">
        <x:v>198447.35607675882</x:v>
      </x:c>
    </x:row>
    <x:row r="16">
      <x:c r="A16" t="n">
        <x:v>2</x:v>
      </x:c>
      <x:c r="B16" s="58" t="n">
        <x:v>44682</x:v>
      </x:c>
      <x:c r="C16" s="58" t="n">
        <x:v>44743</x:v>
      </x:c>
      <x:c r="D16" s="66" t="n">
        <x:v>20362927.297791377</x:v>
      </x:c>
      <x:c r="E16" s="62" t="n">
        <x:v>0.9841797885830613</x:v>
      </x:c>
      <x:c r="F16" s="66" t="n">
        <x:v>-349305.685085485</x:v>
      </x:c>
      <x:c r="G16" s="66" t="n">
        <x:v>123614.64406779665</x:v>
      </x:c>
      <x:c r="H16" s="66" t="n">
        <x:v>134993.12101910776</x:v>
      </x:c>
      <x:c r="I16" s="66" t="n">
        <x:v>78984.3768930374</x:v>
      </x:c>
      <x:c r="J16" s="66" t="n">
        <x:v>-315610.6091030792</x:v>
      </x:c>
    </x:row>
    <x:row r="17">
      <x:c r="A17" t="n">
        <x:v>3</x:v>
      </x:c>
      <x:c r="B17" s="58" t="n">
        <x:v>44713</x:v>
      </x:c>
      <x:c r="C17" s="58" t="n">
        <x:v>44774</x:v>
      </x:c>
      <x:c r="D17" s="66" t="n">
        <x:v>18808787.62361617</x:v>
      </x:c>
      <x:c r="E17" s="62" t="n">
        <x:v>0.9090652024732242</x:v>
      </x:c>
      <x:c r="F17" s="66" t="n">
        <x:v>-1659925.929894221</x:v>
      </x:c>
      <x:c r="G17" s="66" t="n">
        <x:v>-252722.4908108106</x:v>
      </x:c>
      <x:c r="H17" s="66" t="n">
        <x:v>-109869.56254607951</x:v>
      </x:c>
      <x:c r="I17" s="66" t="n">
        <x:v>251252.16727843232</x:v>
      </x:c>
      <x:c r="J17" s="66" t="n">
        <x:v>-110198.01041115238</x:v>
      </x:c>
    </x:row>
    <x:row r="18">
      <x:c r="A18" t="n">
        <x:v>4</x:v>
      </x:c>
      <x:c r="B18" s="58" t="n">
        <x:v>44743</x:v>
      </x:c>
      <x:c r="C18" s="58" t="n">
        <x:v>44805</x:v>
      </x:c>
      <x:c r="D18" s="66" t="n">
        <x:v>18755236.708489843</x:v>
      </x:c>
      <x:c r="E18" s="62" t="n">
        <x:v>0.906476982834824</x:v>
      </x:c>
      <x:c r="F18" s="66" t="n">
        <x:v>-1631644.1786284386</x:v>
      </x:c>
      <x:c r="G18" s="66" t="n">
        <x:v>-489820.682926829</x:v>
      </x:c>
      <x:c r="H18" s="66" t="n">
        <x:v>-376105.95313489577</x:v>
      </x:c>
      <x:c r="I18" s="66" t="n">
        <x:v>232003.5917196547</x:v>
      </x:c>
      <x:c r="J18" s="66" t="n">
        <x:v>330552.4814603535</x:v>
      </x:c>
    </x:row>
    <x:row r="19">
      <x:c r="A19" t="n">
        <x:v>5</x:v>
      </x:c>
      <x:c r="B19" s="58" t="n">
        <x:v>44774</x:v>
      </x:c>
      <x:c r="C19" s="58" t="n">
        <x:v>44835</x:v>
      </x:c>
      <x:c r="D19" s="66" t="n">
        <x:v>19733544.95856366</x:v>
      </x:c>
      <x:c r="E19" s="62" t="n">
        <x:v>0.9537605188729429</x:v>
      </x:c>
      <x:c r="F19" s="66" t="n">
        <x:v>-572475.9510448885</x:v>
      </x:c>
      <x:c r="G19" s="66" t="n">
        <x:v>-471108.67102396465</x:v>
      </x:c>
      <x:c r="H19" s="66" t="n">
        <x:v>-350403.85158013506</x:v>
      </x:c>
      <x:c r="I19" s="66" t="n">
        <x:v>66407.4400881058</x:v>
      </x:c>
      <x:c r="J19" s="66" t="n">
        <x:v>370874.5421245423</x:v>
      </x:c>
    </x:row>
    <x:row r="20">
      <x:c r="A20" t="n">
        <x:v>6</x:v>
      </x:c>
      <x:c r="B20" s="58" t="n">
        <x:v>44805</x:v>
      </x:c>
      <x:c r="C20" s="58" t="n">
        <x:v>44866</x:v>
      </x:c>
      <x:c r="D20" s="66" t="n">
        <x:v>20606302.460704163</x:v>
      </x:c>
      <x:c r="E20" s="62" t="n">
        <x:v>0.9959425824524797</x:v>
      </x:c>
      <x:c r="F20" s="66" t="n">
        <x:v>150181.2528292127</x:v>
      </x:c>
      <x:c r="G20" s="66" t="n">
        <x:v>-168411.94221508806</x:v>
      </x:c>
      <x:c r="H20" s="66" t="n">
        <x:v>-254174.0994854197</x:v>
      </x:c>
      <x:c r="I20" s="66" t="n">
        <x:v>-48701.79126575796</x:v>
      </x:c>
      <x:c r="J20" s="66" t="n">
        <x:v>237157.5908412144</x:v>
      </x:c>
    </x:row>
    <x:row r="21">
      <x:c r="A21" t="n">
        <x:v>7</x:v>
      </x:c>
      <x:c r="B21" s="58" t="n">
        <x:v>44835</x:v>
      </x:c>
      <x:c r="C21" s="58" t="n">
        <x:v>44896</x:v>
      </x:c>
      <x:c r="D21" s="66" t="n">
        <x:v>20581476.208661947</x:v>
      </x:c>
      <x:c r="E21" s="62" t="n">
        <x:v>0.9947426815183509</x:v>
      </x:c>
      <x:c r="F21" s="66" t="n">
        <x:v>-296199.9915539662</x:v>
      </x:c>
      <x:c r="G21" s="66" t="n">
        <x:v>-3827.6239316237625</x:v>
      </x:c>
      <x:c r="H21" s="66" t="n">
        <x:v>176270.85427135648</x:v>
      </x:c>
      <x:c r="I21" s="66" t="n">
        <x:v>94844.09786192133</x:v>
      </x:c>
      <x:c r="J21" s="66" t="n">
        <x:v>-79862.5779857398</x:v>
      </x:c>
    </x:row>
    <x:row r="22">
      <x:c r="A22" t="n">
        <x:v>8</x:v>
      </x:c>
      <x:c r="B22" s="58" t="n">
        <x:v>44866</x:v>
      </x:c>
      <x:c r="C22" s="58" t="n">
        <x:v>44927</x:v>
      </x:c>
      <x:c r="D22" s="66" t="n">
        <x:v>18692764.150805023</x:v>
      </x:c>
      <x:c r="E22" s="62" t="n">
        <x:v>0.9034575628999919</x:v>
      </x:c>
      <x:c r="F22" s="66" t="n">
        <x:v>-1749394.5698856558</x:v>
      </x:c>
      <x:c r="G22" s="66" t="n">
        <x:v>-372988.1693238043</x:v>
      </x:c>
      <x:c r="H22" s="66" t="n">
        <x:v>-278197.49040920753</x:v>
      </x:c>
      <x:c r="I22" s="66" t="n">
        <x:v>226602.5468385599</x:v>
      </x:c>
      <x:c r="J22" s="66" t="n">
        <x:v>176490.38358512777</x:v>
      </x:c>
    </x:row>
    <x:row r="23">
      <x:c r="A23" t="n">
        <x:v>9</x:v>
      </x:c>
      <x:c r="B23" s="58" t="n">
        <x:v>44896</x:v>
      </x:c>
      <x:c r="C23" s="58" t="n">
        <x:v>44958</x:v>
      </x:c>
      <x:c r="D23" s="66" t="n">
        <x:v>19411048.710690804</x:v>
      </x:c>
      <x:c r="E23" s="62" t="n">
        <x:v>0.9381736494406309</x:v>
      </x:c>
      <x:c r="F23" s="66" t="n">
        <x:v>-1338980.7165444107</x:v>
      </x:c>
      <x:c r="G23" s="66" t="n">
        <x:v>-383856.00000000023</x:v>
      </x:c>
      <x:c r="H23" s="66" t="n">
        <x:v>-64898.6685111532</x:v>
      </x:c>
      <x:c r="I23" s="66" t="n">
        <x:v>229468.8741427774</x:v>
      </x:c>
      <x:c r="J23" s="66" t="n">
        <x:v>279063.7716035878</x:v>
      </x:c>
    </x:row>
    <x:row r="24">
      <x:c r="A24" t="n">
        <x:v>10</x:v>
      </x:c>
      <x:c r="B24" s="58" t="n">
        <x:v>44927</x:v>
      </x:c>
      <x:c r="C24" s="58" t="n">
        <x:v>44986</x:v>
      </x:c>
      <x:c r="D24" s="66" t="n">
        <x:v>18914576.20674095</x:v>
      </x:c>
      <x:c r="E24" s="62" t="n">
        <x:v>0.914178169968106</x:v>
      </x:c>
      <x:c r="F24" s="66" t="n">
        <x:v>-1102079.6726045443</x:v>
      </x:c>
      <x:c r="G24" s="66" t="n">
        <x:v>-481322.2542266757</x:v>
      </x:c>
      <x:c r="H24" s="66" t="n">
        <x:v>-291458.3700052807</x:v>
      </x:c>
      <x:c r="I24" s="66" t="n">
        <x:v>151068.5496229273</x:v>
      </x:c>
      <x:c r="J24" s="66" t="n">
        <x:v>-51883.49604547722</x:v>
      </x:c>
    </x:row>
    <x:row r="25">
      <x:c r="A25" t="n">
        <x:v>11</x:v>
      </x:c>
      <x:c r="B25" s="58" t="n">
        <x:v>44958</x:v>
      </x:c>
      <x:c r="C25" s="58" t="n">
        <x:v>45017</x:v>
      </x:c>
      <x:c r="D25" s="66" t="n">
        <x:v>21547544.47407999</x:v>
      </x:c>
      <x:c r="E25" s="62" t="n">
        <x:v>1.0414346353475559</x:v>
      </x:c>
      <x:c r="F25" s="66" t="n">
        <x:v>1449081.400011496</x:v>
      </x:c>
      <x:c r="G25" s="66" t="n">
        <x:v>-83939.35439083679</x:v>
      </x:c>
      <x:c r="H25" s="66" t="n">
        <x:v>-263776.04664500104</x:v>
      </x:c>
      <x:c r="I25" s="66" t="n">
        <x:v>-296545.12641082145</x:v>
      </x:c>
      <x:c r="J25" s="66" t="n">
        <x:v>52472.15151515172</x:v>
      </x:c>
    </x:row>
    <x:row r="26">
      <x:c r="A26" t="n">
        <x:v>12</x:v>
      </x:c>
      <x:c r="B26" s="58" t="n">
        <x:v>44986</x:v>
      </x:c>
      <x:c r="C26" s="58" t="n">
        <x:v>45047</x:v>
      </x:c>
      <x:c r="D26" s="66" t="n">
        <x:v>23626193.47552798</x:v>
      </x:c>
      <x:c r="E26" s="62" t="n">
        <x:v>1.141899775003845</x:v>
      </x:c>
      <x:c r="F26" s="66" t="n">
        <x:v>2545939.522766827</x:v>
      </x:c>
      <x:c r="G26" s="66" t="n">
        <x:v>367400.97560975584</x:v>
      </x:c>
      <x:c r="H26" s="66" t="n">
        <x:v>298542.62767710024</x:v>
      </x:c>
      <x:c r="I26" s="66" t="n">
        <x:v>-324171.4250201909</x:v>
      </x:c>
      <x:c r="J26" s="66" t="n">
        <x:v>48230.32449449063</x:v>
      </x:c>
    </x:row>
    <x:row r="27">
      <x:c r="A27" t="n">
        <x:v>13</x:v>
      </x:c>
      <x:c r="B27" s="58" t="n">
        <x:v>45017</x:v>
      </x:c>
      <x:c r="C27" s="58" t="n">
        <x:v>45078</x:v>
      </x:c>
      <x:c r="D27" s="66" t="n">
        <x:v>20110176.851587713</x:v>
      </x:c>
      <x:c r="E27" s="62" t="n">
        <x:v>0.9719638690803689</x:v>
      </x:c>
      <x:c r="F27" s="66" t="n">
        <x:v>-838778.0501940525</x:v>
      </x:c>
      <x:c r="G27" s="66" t="n">
        <x:v>-2620.177474403288</x:v>
      </x:c>
      <x:c r="H27" s="66" t="n">
        <x:v>188530.57142857183</x:v>
      </x:c>
      <x:c r="I27" s="66" t="n">
        <x:v>150010.95914086996</x:v>
      </x:c>
      <x:c r="J27" s="66" t="n">
        <x:v>-77217.90131327254</x:v>
      </x:c>
    </x:row>
    <x:row r="28">
      <x:c r="A28" t="n">
        <x:v>14</x:v>
      </x:c>
      <x:c r="B28" s="58" t="n">
        <x:v>45047</x:v>
      </x:c>
      <x:c r="C28" s="58" t="n">
        <x:v>45108</x:v>
      </x:c>
      <x:c r="D28" s="66" t="n">
        <x:v>19017545.61832383</x:v>
      </x:c>
      <x:c r="E28" s="62" t="n">
        <x:v>0.9191548814320393</x:v>
      </x:c>
      <x:c r="F28" s="66" t="n">
        <x:v>-1620157.2720722163</x:v>
      </x:c>
      <x:c r="G28" s="66" t="n">
        <x:v>-316041.4400000002</x:v>
      </x:c>
      <x:c r="H28" s="66" t="n">
        <x:v>-254011.50570755545</x:v>
      </x:c>
      <x:c r="I28" s="66" t="n">
        <x:v>228222.60444008387</x:v>
      </x:c>
      <x:c r="J28" s="66" t="n">
        <x:v>289281.7816635162</x:v>
      </x:c>
    </x:row>
    <x:row r="29">
      <x:c r="A29" t="n">
        <x:v>15</x:v>
      </x:c>
      <x:c r="B29" s="58" t="n">
        <x:v>45078</x:v>
      </x:c>
      <x:c r="C29" s="58" t="n">
        <x:v>45139</x:v>
      </x:c>
      <x:c r="D29" s="66" t="n">
        <x:v>19361342.827074327</x:v>
      </x:c>
      <x:c r="E29" s="62" t="n">
        <x:v>0.9357712676360116</x:v>
      </x:c>
      <x:c r="F29" s="66" t="n">
        <x:v>-814805.7974682895</x:v>
      </x:c>
      <x:c r="G29" s="66" t="n">
        <x:v>-348104.7058823528</x:v>
      </x:c>
      <x:c r="H29" s="66" t="n">
        <x:v>-234892.17594394693</x:v>
      </x:c>
      <x:c r="I29" s="66" t="n">
        <x:v>123818.92717850892</x:v>
      </x:c>
      <x:c r="J29" s="66" t="n">
        <x:v>-54924.87080959347</x:v>
      </x:c>
    </x:row>
    <x:row r="30">
      <x:c r="A30" t="n">
        <x:v>16</x:v>
      </x:c>
      <x:c r="B30" s="58" t="n">
        <x:v>45108</x:v>
      </x:c>
      <x:c r="C30" s="58" t="n">
        <x:v>45170</x:v>
      </x:c>
      <x:c r="D30" s="66" t="n">
        <x:v>20723411.003890455</x:v>
      </x:c>
      <x:c r="E30" s="62" t="n">
        <x:v>1.0016026655824164</x:v>
      </x:c>
      <x:c r="F30" s="66" t="n">
        <x:v>607265.6342639299</x:v>
      </x:c>
      <x:c r="G30" s="66" t="n">
        <x:v>-33315.803773584776</x:v>
      </x:c>
      <x:c r="H30" s="66" t="n">
        <x:v>-150698.85654885648</x:v>
      </x:c>
      <x:c r="I30" s="66" t="n">
        <x:v>-118863.43368011288</x:v>
      </x:c>
      <x:c r="J30" s="66" t="n">
        <x:v>-271227.9863709246</x:v>
      </x:c>
    </x:row>
    <x:row r="31">
      <x:c r="A31" t="n">
        <x:v>17</x:v>
      </x:c>
      <x:c r="B31" s="58" t="n">
        <x:v>45139</x:v>
      </x:c>
      <x:c r="C31" s="58" t="n">
        <x:v>45200</x:v>
      </x:c>
      <x:c r="D31" s="66" t="n">
        <x:v>23334088.55618992</x:v>
      </x:c>
      <x:c r="E31" s="62" t="n">
        <x:v>1.1277817774510384</x:v>
      </x:c>
      <x:c r="F31" s="66" t="n">
        <x:v>2544348.1539271986</x:v>
      </x:c>
      <x:c r="G31" s="66" t="n">
        <x:v>450397.0754716976</x:v>
      </x:c>
      <x:c r="H31" s="66" t="n">
        <x:v>340591.047040971</x:v>
      </x:c>
      <x:c r="I31" s="66" t="n">
        <x:v>-392227.0756300494</x:v>
      </x:c>
      <x:c r="J31" s="66" t="n">
        <x:v>-299272.09461989766</x:v>
      </x:c>
    </x:row>
    <x:row r="32">
      <x:c r="A32" t="n">
        <x:v>18</x:v>
      </x:c>
      <x:c r="B32" s="58" t="n">
        <x:v>45170</x:v>
      </x:c>
      <x:c r="C32" s="58" t="n">
        <x:v>45231</x:v>
      </x:c>
      <x:c r="D32" s="66" t="n">
        <x:v>22947547.315317456</x:v>
      </x:c>
      <x:c r="E32" s="62" t="n">
        <x:v>1.1090994892339723</x:v>
      </x:c>
      <x:c r="F32" s="66" t="n">
        <x:v>1928117.77193473</x:v>
      </x:c>
      <x:c r="G32" s="66" t="n">
        <x:v>388813.5498154978</x:v>
      </x:c>
      <x:c r="H32" s="66" t="n">
        <x:v>390581.8452380956</x:v>
      </x:c>
      <x:c r="I32" s="66" t="n">
        <x:v>-261936.4252924592</x:v>
      </x:c>
      <x:c r="J32" s="66" t="n">
        <x:v>-188280.87637840933</x:v>
      </x:c>
    </x:row>
    <x:row r="33">
      <x:c r="A33" t="n">
        <x:v>19</x:v>
      </x:c>
      <x:c r="B33" s="58" t="n">
        <x:v>45200</x:v>
      </x:c>
      <x:c r="C33" s="58" t="n">
        <x:v>45261</x:v>
      </x:c>
      <x:c r="D33" s="66" t="n">
        <x:v>21786746.848780803</x:v>
      </x:c>
      <x:c r="E33" s="62" t="n">
        <x:v>1.0529957502657998</x:v>
      </x:c>
      <x:c r="F33" s="66" t="n">
        <x:v>932955.0900102013</x:v>
      </x:c>
      <x:c r="G33" s="66" t="n">
        <x:v>24515.173109243624</x:v>
      </x:c>
      <x:c r="H33" s="66" t="n">
        <x:v>91080</x:v>
      </x:c>
      <x:c r="I33" s="66" t="n">
        <x:v>-128076.25785123213</x:v>
      </x:c>
      <x:c r="J33" s="66" t="n">
        <x:v>176021.39351259102</x:v>
      </x:c>
    </x:row>
    <x:row r="34">
      <x:c r="A34" t="n">
        <x:v>20</x:v>
      </x:c>
      <x:c r="B34" s="58" t="n">
        <x:v>45231</x:v>
      </x:c>
      <x:c r="C34" s="58" t="n">
        <x:v>45292</x:v>
      </x:c>
      <x:c r="D34" s="66" t="n">
        <x:v>21478195.89897547</x:v>
      </x:c>
      <x:c r="E34" s="62" t="n">
        <x:v>1.0380828841485863</x:v>
      </x:c>
      <x:c r="F34" s="66" t="n">
        <x:v>400268.4444145821</x:v>
      </x:c>
      <x:c r="G34" s="66" t="n">
        <x:v>142952.38476953912</x:v>
      </x:c>
      <x:c r="H34" s="66" t="n">
        <x:v>52168.650446350686</x:v>
      </x:c>
      <x:c r="I34" s="66" t="n">
        <x:v>-91104.27458436077</x:v>
      </x:c>
      <x:c r="J34" s="66" t="n">
        <x:v>283659.2439293598</x:v>
      </x:c>
    </x:row>
    <x:row r="35">
      <x:c r="A35" t="n">
        <x:v>21</x:v>
      </x:c>
      <x:c r="B35" s="58" t="n">
        <x:v>45261</x:v>
      </x:c>
      <x:c r="C35" s="58" t="n">
        <x:v>45323</x:v>
      </x:c>
      <x:c r="D35" s="66" t="n">
        <x:v>21401822.992280018</x:v>
      </x:c>
      <x:c r="E35" s="62" t="n">
        <x:v>1.0343916333737944</x:v>
      </x:c>
      <x:c r="F35" s="66" t="n">
        <x:v>68861.13695251173</x:v>
      </x:c>
      <x:c r="G35" s="66" t="n">
        <x:v>214749.09819639265</x:v>
      </x:c>
      <x:c r="H35" s="66" t="n">
        <x:v>241955.38488091156</x:v>
      </x:c>
      <x:c r="I35" s="66" t="n">
        <x:v>52810.66061528362</x:v>
      </x:c>
      <x:c r="J35" s="66" t="n">
        <x:v>133195.26163491677</x:v>
      </x:c>
    </x:row>
    <x:row r="36">
      <x:c r="A36" t="n">
        <x:v>22</x:v>
      </x:c>
      <x:c r="B36" s="58" t="n">
        <x:v>45292</x:v>
      </x:c>
      <x:c r="C36" s="58" t="n">
        <x:v>45352</x:v>
      </x:c>
      <x:c r="D36" s="66" t="n">
        <x:v>19684389.808669366</x:v>
      </x:c>
      <x:c r="E36" s="62" t="n">
        <x:v>0.9513847550977621</x:v>
      </x:c>
      <x:c r="F36" s="66" t="n">
        <x:v>-700067.3277195145</x:v>
      </x:c>
      <x:c r="G36" s="66" t="n">
        <x:v>-76365.50823748857</x:v>
      </x:c>
      <x:c r="H36" s="66" t="n">
        <x:v>-174590.04048582958</x:v>
      </x:c>
      <x:c r="I36" s="66" t="n">
        <x:v>75858.22725440952</x:v>
      </x:c>
      <x:c r="J36" s="66" t="n">
        <x:v>-130696.99214221328</x:v>
      </x:c>
    </x:row>
    <x:row r="37">
      <x:c r="A37" t="n">
        <x:v>23</x:v>
      </x:c>
      <x:c r="B37" s="58" t="n">
        <x:v>45323</x:v>
      </x:c>
      <x:c r="C37" s="58" t="n">
        <x:v>45383</x:v>
      </x:c>
      <x:c r="D37" s="66" t="n">
        <x:v>21504115.650181074</x:v>
      </x:c>
      <x:c r="E37" s="62" t="n">
        <x:v>1.0393356360191106</x:v>
      </x:c>
      <x:c r="F37" s="66" t="n">
        <x:v>937734.3850105433</x:v>
      </x:c>
      <x:c r="G37" s="66" t="n">
        <x:v>177962.8589826147</x:v>
      </x:c>
      <x:c r="H37" s="66" t="n">
        <x:v>11259.945596735924</x:v>
      </x:c>
      <x:c r="I37" s="66" t="n">
        <x:v>-177857.24926902933</x:v>
      </x:c>
      <x:c r="J37" s="66" t="n">
        <x:v>-135235.7401397901</x:v>
      </x:c>
    </x:row>
    <x:row r="38">
      <x:c r="A38" t="n">
        <x:v>24</x:v>
      </x:c>
      <x:c r="B38" s="58" t="n">
        <x:v>45352</x:v>
      </x:c>
      <x:c r="C38" s="58" t="n">
        <x:v>45413</x:v>
      </x:c>
      <x:c r="D38" s="66" t="n">
        <x:v>21707079.540049206</x:v>
      </x:c>
      <x:c r="E38" s="62" t="n">
        <x:v>1.0491452746481342</x:v>
      </x:c>
      <x:c r="F38" s="66" t="n">
        <x:v>895011.5168420228</x:v>
      </x:c>
      <x:c r="G38" s="66" t="n">
        <x:v>119955</x:v>
      </x:c>
      <x:c r="H38" s="66" t="n">
        <x:v>187093.22033898346</x:v>
      </x:c>
      <x:c r="I38" s="66" t="n">
        <x:v>-65728.23314042599</x:v>
      </x:c>
      <x:c r="J38" s="66" t="n">
        <x:v>-119503.41399137466</x:v>
      </x:c>
    </x:row>
    <x:row r="39">
      <x:c r="A39" t="n">
        <x:v>25</x:v>
      </x:c>
      <x:c r="B39" s="58" t="n">
        <x:v>45383</x:v>
      </x:c>
      <x:c r="C39" s="58" t="n">
        <x:v>45444</x:v>
      </x:c>
      <x:c r="D39" s="66" t="n">
        <x:v>20041870.75881381</x:v>
      </x:c>
      <x:c r="E39" s="62" t="n">
        <x:v>0.9686625030752737</x:v>
      </x:c>
      <x:c r="F39" s="66" t="n">
        <x:v>-605581.5715120446</x:v>
      </x:c>
      <x:c r="G39" s="66" t="n">
        <x:v>0</x:v>
      </x:c>
      <x:c r="H39" s="66" t="n">
        <x:v>-59346.77419354813</x:v>
      </x:c>
      <x:c r="I39" s="66" t="n">
        <x:v>49000.93867816182</x:v>
      </x:c>
      <x:c r="J39" s="66" t="n">
        <x:v>-32453.28415876371</x:v>
      </x:c>
    </x:row>
    <x:row r="40">
      <x:c r="A40" t="n">
        <x:v>26</x:v>
      </x:c>
      <x:c r="B40" s="58" t="n">
        <x:v>45413</x:v>
      </x:c>
      <x:c r="C40" s="58" t="n">
        <x:v>45474</x:v>
      </x:c>
      <x:c r="D40" s="66" t="n">
        <x:v>21145299.398164168</x:v>
      </x:c>
      <x:c r="E40" s="62" t="n">
        <x:v>1.0219933503110794</x:v>
      </x:c>
      <x:c r="F40" s="66" t="n">
        <x:v>230545.9593084294</x:v>
      </x:c>
      <x:c r="G40" s="66" t="n">
        <x:v>-58160</x:v>
      </x:c>
      <x:c r="H40" s="66" t="n">
        <x:v>60319.6721311477</x:v>
      </x:c>
      <x:c r="I40" s="66" t="n">
        <x:v>-7840.3328195495415</x:v>
      </x:c>
      <x:c r="J40" s="66" t="n">
        <x:v>230182.64954414032</x:v>
      </x:c>
    </x:row>
    <x:row r="41">
      <x:c r="A41" t="n">
        <x:v>27</x:v>
      </x:c>
      <x:c r="B41" s="58" t="n">
        <x:v>45444</x:v>
      </x:c>
      <x:c r="C41" s="58" t="n">
        <x:v>45505</x:v>
      </x:c>
      <x:c r="D41" s="66" t="n">
        <x:v>19675959.322723955</x:v>
      </x:c>
      <x:c r="E41" s="62" t="n">
        <x:v>0.9509772933534819</x:v>
      </x:c>
      <x:c r="F41" s="66" t="n">
        <x:v>-852518.2206448102</x:v>
      </x:c>
      <x:c r="G41" s="66" t="n">
        <x:v>-116320</x:v>
      </x:c>
      <x:c r="H41" s="66" t="n">
        <x:v>-118693.54838709673</x:v>
      </x:c>
      <x:c r="I41" s="66" t="n">
        <x:v>128015.78854485476</x:v>
      </x:c>
      <x:c r="J41" s="66" t="n">
        <x:v>-54776.14678899106</x:v>
      </x:c>
    </x:row>
    <x:row r="42">
      <x:c r="A42" t="n">
        <x:v>28</x:v>
      </x:c>
      <x:c r="B42" s="58" t="n">
        <x:v>45474</x:v>
      </x:c>
      <x:c r="C42" s="58" t="n">
        <x:v>45536</x:v>
      </x:c>
      <x:c r="D42" s="66" t="n">
        <x:v>19921192.83084737</x:v>
      </x:c>
      <x:c r="E42" s="62" t="n">
        <x:v>0.9628299046528684</x:v>
      </x:c>
      <x:c r="F42" s="66" t="n">
        <x:v>-788999.3863974472</x:v>
      </x:c>
      <x:c r="G42" s="66" t="n">
        <x:v>-59977.5</x:v>
      </x:c>
      <x:c r="H42" s="66" t="n">
        <x:v>0</x:v>
      </x:c>
      <x:c r="I42" s="66" t="n">
        <x:v>107533.37362779723</x:v>
      </x:c>
      <x:c r="J42" s="66" t="n">
        <x:v>-27615.106382978847</x:v>
      </x:c>
    </x:row>
    <x:row r="43">
      <x:c r="A43" t="n">
        <x:v>29</x:v>
      </x:c>
      <x:c r="B43" s="58" t="n">
        <x:v>45505</x:v>
      </x:c>
      <x:c r="C43" s="58" t="n">
        <x:v>45566</x:v>
      </x:c>
      <x:c r="D43" s="66" t="n">
        <x:v>20253582.999036252</x:v>
      </x:c>
      <x:c r="E43" s="62" t="n">
        <x:v>0.9788949664522445</x:v>
      </x:c>
      <x:c r="F43" s="66" t="n">
        <x:v>-497375.948388478</x:v>
      </x:c>
      <x:c r="G43" s="66" t="n">
        <x:v>-179932.5</x:v>
      </x:c>
      <x:c r="H43" s="66" t="n">
        <x:v>-61325</x:v>
      </x:c>
      <x:c r="I43" s="66" t="n">
        <x:v>74340.24698433242</x:v>
      </x:c>
      <x:c r="J43" s="66" t="n">
        <x:v>227624.7504403994</x:v>
      </x:c>
    </x:row>
    <x:row r="44">
      <x:c r="A44" t="n">
        <x:v>30</x:v>
      </x:c>
      <x:c r="B44" s="58" t="n">
        <x:v>45536</x:v>
      </x:c>
      <x:c r="C44" s="58" t="n">
        <x:v>45597</x:v>
      </x:c>
      <x:c r="D44" s="66" t="n">
        <x:v>19985287.269257005</x:v>
      </x:c>
      <x:c r="E44" s="62" t="n">
        <x:v>0.9659277132302326</x:v>
      </x:c>
      <x:c r="F44" s="66" t="n">
        <x:v>-668934.1073795976</x:v>
      </x:c>
      <x:c r="G44" s="66" t="n">
        <x:v>-123824.51612903224</x:v>
      </x:c>
      <x:c r="H44" s="66" t="n">
        <x:v>-187093.220338983</x:v>
      </x:c>
      <x:c r="I44" s="66" t="n">
        <x:v>92148.1471762956</x:v>
      </x:c>
      <x:c r="J44" s="66" t="n">
        <x:v>182739.51592832268</x:v>
      </x:c>
    </x:row>
    <x:row r="45">
      <x:c r="A45" t="n">
        <x:v>31</x:v>
      </x:c>
      <x:c r="B45" s="58" t="n">
        <x:v>45566</x:v>
      </x:c>
      <x:c r="C45" s="58" t="n">
        <x:v>45627</x:v>
      </x:c>
      <x:c r="D45" s="66" t="n">
        <x:v>19628962.290742688</x:v>
      </x:c>
      <x:c r="E45" s="62" t="n">
        <x:v>0.9487058356046557</x:v>
      </x:c>
      <x:c r="F45" s="66" t="n">
        <x:v>-981144.3886723048</x:v>
      </x:c>
      <x:c r="G45" s="66" t="n">
        <x:v>-63976</x:v>
      </x:c>
      <x:c r="H45" s="66" t="n">
        <x:v>-131410.7142857141</x:v>
      </x:c>
      <x:c r="I45" s="66" t="n">
        <x:v>152714.34980716486</x:v>
      </x:c>
      <x:c r="J45" s="66" t="n">
        <x:v>-37472.40610645781</x:v>
      </x:c>
    </x:row>
    <x:row r="46">
      <x:c r="A46" t="n">
        <x:v>32</x:v>
      </x:c>
      <x:c r="B46" s="58" t="n">
        <x:v>45597</x:v>
      </x:c>
      <x:c r="C46" s="58" t="n">
        <x:v>45658</x:v>
      </x:c>
      <x:c r="D46" s="66" t="n">
        <x:v>18898353.927143596</x:v>
      </x:c>
      <x:c r="E46" s="62" t="n">
        <x:v>0.9133941157174094</x:v>
      </x:c>
      <x:c r="F46" s="66" t="n">
        <x:v>-1617477.6415853128</x:v>
      </x:c>
      <x:c r="G46" s="66" t="n">
        <x:v>-191928</x:v>
      </x:c>
      <x:c r="H46" s="66" t="n">
        <x:v>-272555.5555555555</x:v>
      </x:c>
      <x:c r="I46" s="66" t="n">
        <x:v>239043.08060471038</x:v>
      </x:c>
      <x:c r="J46" s="66" t="n">
        <x:v>51020.593679756625</x:v>
      </x:c>
    </x:row>
    <x:row r="47">
      <x:c r="A47" t="n">
        <x:v>33</x:v>
      </x:c>
      <x:c r="B47" s="58" t="n">
        <x:v>45627</x:v>
      </x:c>
      <x:c r="C47" s="58" t="n">
        <x:v>45689</x:v>
      </x:c>
      <x:c r="D47" s="66" t="n">
        <x:v>18957437.909682486</x:v>
      </x:c>
      <x:c r="E47" s="62" t="n">
        <x:v>0.9162497592402381</x:v>
      </x:c>
      <x:c r="F47" s="66" t="n">
        <x:v>-1315421.7747474108</x:v>
      </x:c>
      <x:c r="G47" s="66" t="n">
        <x:v>-264728.27586206887</x:v>
      </x:c>
      <x:c r="H47" s="66" t="n">
        <x:v>-294360</x:v>
      </x:c>
      <x:c r="I47" s="66" t="n">
        <x:v>204399.8055172524</x:v>
      </x:c>
      <x:c r="J47" s="66" t="n">
        <x:v>-62703.29522528569</x:v>
      </x:c>
    </x:row>
    <x:row r="48">
      <x:c r="A48" t="n">
        <x:v>34</x:v>
      </x:c>
      <x:c r="B48" s="58" t="n">
        <x:v>45658</x:v>
      </x:c>
      <x:c r="C48" s="58" t="n">
        <x:v>45717</x:v>
      </x:c>
      <x:c r="D48" s="66" t="n">
        <x:v>20317452.359046638</x:v>
      </x:c>
      <x:c r="E48" s="62" t="n">
        <x:v>0.9819818965538304</x:v>
      </x:c>
      <x:c r="F48" s="66" t="n">
        <x:v>21239.343182377983</x:v>
      </x:c>
      <x:c r="G48" s="66" t="n">
        <x:v>-205637.1428571425</x:v>
      </x:c>
      <x:c r="H48" s="66" t="n">
        <x:v>0</x:v>
      </x:c>
      <x:c r="I48" s="66" t="n">
        <x:v>-55216.27909338777</x:v>
      </x:c>
      <x:c r="J48" s="66" t="n">
        <x:v>-133185.01218521502</x:v>
      </x:c>
    </x:row>
    <x:row r="49">
      <x:c r="A49" t="n">
        <x:v>35</x:v>
      </x:c>
      <x:c r="B49" s="58" t="n">
        <x:v>45689</x:v>
      </x:c>
      <x:c r="C49" s="58" t="n">
        <x:v>45748</x:v>
      </x:c>
      <x:c r="D49" s="66" t="n">
        <x:v>23414306.811077047</x:v>
      </x:c>
      <x:c r="E49" s="62" t="n">
        <x:v>1.1316588813654582</x:v>
      </x:c>
      <x:c r="F49" s="66" t="n">
        <x:v>2789634.533237912</x:v>
      </x:c>
      <x:c r="G49" s="66" t="n">
        <x:v>175687.93846153887</x:v>
      </x:c>
      <x:c r="H49" s="66" t="n">
        <x:v>0</x:v>
      </x:c>
      <x:c r="I49" s="66" t="n">
        <x:v>-404129.2905139138</x:v>
      </x:c>
      <x:c r="J49" s="66" t="n">
        <x:v>162862.17989150994</x:v>
      </x:c>
    </x:row>
    <x:row r="50">
      <x:c r="A50" t="n">
        <x:v>36</x:v>
      </x:c>
      <x:c r="B50" s="58" t="n">
        <x:v>45717</x:v>
      </x:c>
      <x:c r="C50" s="58" t="n">
        <x:v>45778</x:v>
      </x:c>
      <x:c r="D50" s="66" t="n">
        <x:v>22035147.40425214</x:v>
      </x:c>
      <x:c r="E50" s="62" t="n">
        <x:v>1.065001431108859</x:v>
      </x:c>
      <x:c r="F50" s="66" t="n">
        <x:v>1271913.4012758643</x:v>
      </x:c>
      <x:c r="G50" s="66" t="n">
        <x:v>27012.088888888946</x:v>
      </x:c>
      <x:c r="H50" s="66" t="n">
        <x:v>75189.7826086958</x:v>
      </x:c>
      <x:c r="I50" s="66" t="n">
        <x:v>-189304.45240253804</x:v>
      </x:c>
      <x:c r="J50" s="66" t="n">
        <x:v>160085.13388123002</x:v>
      </x:c>
    </x:row>
    <x:row r="51">
      <x:c r="A51" t="n">
        <x:v>37</x:v>
      </x:c>
      <x:c r="B51" s="58" t="n">
        <x:v>45748</x:v>
      </x:c>
      <x:c r="C51" s="58" t="n">
        <x:v>45809</x:v>
      </x:c>
      <x:c r="D51" s="66" t="n">
        <x:v>21067383.329990257</x:v>
      </x:c>
      <x:c r="E51" s="62" t="n">
        <x:v>1.0182275155476788</x:v>
      </x:c>
      <x:c r="F51" s="66" t="n">
        <x:v>290878.7208568598</x:v>
      </x:c>
      <x:c r="G51" s="66" t="n">
        <x:v>-49769.49598246883</x:v>
      </x:c>
      <x:c r="H51" s="66" t="n">
        <x:v>-73684.06476352783</x:v>
      </x:c>
      <x:c r="I51" s="66" t="n">
        <x:v>-9898.53242364552</x:v>
      </x:c>
      <x:c r="J51" s="66" t="n">
        <x:v>219605.25230303896</x:v>
      </x:c>
    </x:row>
    <x:row r="52">
      <x:c r="A52" t="n">
        <x:v>38</x:v>
      </x:c>
      <x:c r="B52" s="58" t="n">
        <x:v>45778</x:v>
      </x:c>
      <x:c r="C52" s="58" t="n">
        <x:v>45839</x:v>
      </x:c>
      <x:c r="D52" s="66" t="n">
        <x:v>20823397.701101076</x:v>
      </x:c>
      <x:c r="E52" s="62" t="n">
        <x:v>1.0064352166730712</x:v>
      </x:c>
      <x:c r="F52" s="66" t="n">
        <x:v>111088.98731070617</x:v>
      </x:c>
      <x:c r="G52" s="66" t="n">
        <x:v>3554.2222222217824</x:v>
      </x:c>
      <x:c r="H52" s="66" t="n">
        <x:v>15997.826086956542</x:v>
      </x:c>
      <x:c r="I52" s="66" t="n">
        <x:v>-25124.27960173745</x:v>
      </x:c>
      <x:c r="J52" s="66" t="n">
        <x:v>27629.495082929265</x:v>
      </x:c>
    </x:row>
    <x:row r="53">
      <x:c r="A53" t="n">
        <x:v>39</x:v>
      </x:c>
      <x:c r="B53" s="58" t="n">
        <x:v>45809</x:v>
      </x:c>
      <x:c r="C53" s="58" t="n">
        <x:v>45870</x:v>
      </x:c>
      <x:c r="D53" s="66" t="n">
        <x:v>21796108.132180102</x:v>
      </x:c>
      <x:c r="E53" s="62" t="n">
        <x:v>1.0534481992571483</x:v>
      </x:c>
      <x:c r="F53" s="66" t="n">
        <x:v>1458059.5481807517</x:v>
      </x:c>
      <x:c r="G53" s="66" t="n">
        <x:v>120620.18484288338</x:v>
      </x:c>
      <x:c r="H53" s="66" t="n">
        <x:v>54157.142857142724</x:v>
      </x:c>
      <x:c r="I53" s="66" t="n">
        <x:v>-252370.3798915221</x:v>
      </x:c>
      <x:c r="J53" s="66" t="n">
        <x:v>-274609.8138091543</x:v>
      </x:c>
    </x:row>
    <x:row r="54">
      <x:c r="A54" t="n">
        <x:v>40</x:v>
      </x:c>
      <x:c r="B54" s="58" t="n">
        <x:v>45839</x:v>
      </x:c>
      <x:c r="C54" s="58" t="n">
        <x:v>45901</x:v>
      </x:c>
      <x:c r="D54" s="66" t="n">
        <x:v>23051243.005557217</x:v>
      </x:c>
      <x:c r="E54" s="62" t="n">
        <x:v>1.1141113031546659</x:v>
      </x:c>
      <x:c r="F54" s="66" t="n">
        <x:v>1900832.477846026</x:v>
      </x:c>
      <x:c r="G54" s="66" t="n">
        <x:v>256614.84444444394</x:v>
      </x:c>
      <x:c r="H54" s="66" t="n">
        <x:v>382234.7482935153</x:v>
      </x:c>
      <x:c r="I54" s="66" t="n">
        <x:v>-241884.76894614229</x:v>
      </x:c>
      <x:c r="J54" s="66" t="n">
        <x:v>63194.2539193728</x:v>
      </x:c>
    </x:row>
    <x:row r="55">
      <x:c r="A55" t="n">
        <x:v>41</x:v>
      </x:c>
      <x:c r="B55" s="58" t="n">
        <x:v>45870</x:v>
      </x:c>
      <x:c r="C55" s="58" t="n">
        <x:v>45931</x:v>
      </x:c>
      <x:c r="D55" s="66" t="n">
        <x:v>21532809.03016262</x:v>
      </x:c>
      <x:c r="E55" s="62" t="n">
        <x:v>1.0407224427503332</x:v>
      </x:c>
      <x:c r="F55" s="66" t="n">
        <x:v>596589.3249513782</x:v>
      </x:c>
      <x:c r="G55" s="66" t="n">
        <x:v>55978.999999998836</x:v>
      </x:c>
      <x:c r="H55" s="66" t="n">
        <x:v>173487.53623188427</x:v>
      </x:c>
      <x:c r="I55" s="66" t="n">
        <x:v>-97430.53749586601</x:v>
      </x:c>
      <x:c r="J55" s="66" t="n">
        <x:v>113932.25647522556</x:v>
      </x:c>
    </x:row>
    <x:row r="56">
      <x:c r="A56" t="n">
        <x:v>42</x:v>
      </x:c>
      <x:c r="B56" s="58" t="n">
        <x:v>45901</x:v>
      </x:c>
      <x:c r="C56" s="58" t="n">
        <x:v>45962</x:v>
      </x:c>
      <x:c r="D56" s="66" t="n">
        <x:v>21806975.84941595</x:v>
      </x:c>
      <x:c r="E56" s="62" t="n">
        <x:v>1.0539734571189057</x:v>
      </x:c>
      <x:c r="F56" s="66" t="n">
        <x:v>884499.3551471301</x:v>
      </x:c>
      <x:c r="G56" s="66" t="n">
        <x:v>110586.76848316519</x:v>
      </x:c>
      <x:c r="H56" s="66" t="n">
        <x:v>199625.9457464479</x:v>
      </x:c>
      <x:c r="I56" s="66" t="n">
        <x:v>-129150.44438247866</x:v>
      </x:c>
      <x:c r="J56" s="66" t="n">
        <x:v>51162.77442168875</x:v>
      </x:c>
    </x:row>
    <x:row r="57">
      <x:c r="A57" t="n">
        <x:v>43</x:v>
      </x:c>
      <x:c r="B57" s="58" t="n">
        <x:v>45931</x:v>
      </x:c>
      <x:c r="C57" s="58" t="n">
        <x:v>45992</x:v>
      </x:c>
      <x:c r="D57" s="66" t="n">
        <x:v>20908212.212355882</x:v>
      </x:c>
      <x:c r="E57" s="62" t="n">
        <x:v>1.0105344665763298</x:v>
      </x:c>
      <x:c r="F57" s="66" t="n">
        <x:v>149347.8157493933</x:v>
      </x:c>
      <x:c r="G57" s="66" t="n">
        <x:v>-29796.449544380885</x:v>
      </x:c>
      <x:c r="H57" s="66" t="n">
        <x:v>-21253.894626291003</x:v>
      </x:c>
      <x:c r="I57" s="66" t="n">
        <x:v>-23938.45212621172</x:v>
      </x:c>
      <x:c r="J57" s="66" t="n">
        <x:v>143601.74290336785</x:v>
      </x:c>
    </x:row>
    <x:row r="60">
      <x:c r="A60" s="44" t="str">
        <x:v>6개월 Rolling Historical Path — 40개 실제 경로</x:v>
      </x:c>
      <x:c r="B60" s="44"/>
      <x:c r="C60" s="44"/>
      <x:c r="D60" s="44"/>
      <x:c r="E60" s="44"/>
      <x:c r="F60" s="44"/>
      <x:c r="G60" s="44"/>
      <x:c r="H60" s="44"/>
      <x:c r="I60" s="44"/>
      <x:c r="J60" s="44"/>
    </x:row>
    <x:row r="61">
      <x:c r="A61" s="15" t="str">
        <x:v>순번</x:v>
      </x:c>
      <x:c r="B61" s="15" t="str">
        <x:v>역사경로 시작</x:v>
      </x:c>
      <x:c r="C61" s="15" t="str">
        <x:v>역사경로 종료</x:v>
      </x:c>
      <x:c r="D61" s="15" t="str">
        <x:v>시장연동 공헌이익</x:v>
      </x:c>
      <x:c r="E61" s="15" t="str">
        <x:v>공헌이익 유지율</x:v>
      </x:c>
      <x:c r="F61" s="15" t="str">
        <x:v>A 영향</x:v>
      </x:c>
      <x:c r="G61" s="15" t="str">
        <x:v>C1 영향</x:v>
      </x:c>
      <x:c r="H61" s="15" t="str">
        <x:v>C2 영향</x:v>
      </x:c>
      <x:c r="I61" s="15" t="str">
        <x:v>D TC-in 영향</x:v>
      </x:c>
      <x:c r="J61" s="15" t="str">
        <x:v>Fuel 영향</x:v>
      </x:c>
    </x:row>
    <x:row r="62">
      <x:c r="A62" t="n">
        <x:v>1</x:v>
      </x:c>
      <x:c r="B62" s="58" t="n">
        <x:v>44652</x:v>
      </x:c>
      <x:c r="C62" s="58" t="n">
        <x:v>44805</x:v>
      </x:c>
      <x:c r="D62" s="66" t="n">
        <x:v>40639635.293247394</x:v>
      </x:c>
      <x:c r="E62" s="62" t="n">
        <x:v>0.9503061289537704</x:v>
      </x:c>
      <x:c r="F62" s="66" t="n">
        <x:v>-2370651.5411625737</x:v>
      </x:c>
      <x:c r="G62" s="66" t="n">
        <x:v>-446115.024504083</x:v>
      </x:c>
      <x:c r="H62" s="66" t="n">
        <x:v>-155281.6513761473</x:v>
      </x:c>
      <x:c r="I62" s="66" t="n">
        <x:v>297903.915194249</x:v>
      </x:c>
      <x:c r="J62" s="66" t="n">
        <x:v>548996.6950959482</x:v>
      </x:c>
    </x:row>
    <x:row r="63">
      <x:c r="A63" t="n">
        <x:v>2</x:v>
      </x:c>
      <x:c r="B63" s="58" t="n">
        <x:v>44682</x:v>
      </x:c>
      <x:c r="C63" s="58" t="n">
        <x:v>44835</x:v>
      </x:c>
      <x:c r="D63" s="66" t="n">
        <x:v>39388891.860703684</x:v>
      </x:c>
      <x:c r="E63" s="62" t="n">
        <x:v>0.9210590862301252</x:v>
      </x:c>
      <x:c r="F63" s="66" t="n">
        <x:v>-2185963.3882984053</x:v>
      </x:c>
      <x:c r="G63" s="66" t="n">
        <x:v>-912579.6881355916</x:v>
      </x:c>
      <x:c r="H63" s="66" t="n">
        <x:v>-538566.3057324854</x:v>
      </x:c>
      <x:c r="I63" s="66" t="n">
        <x:v>304699.24265980645</x:v>
      </x:c>
      <x:c r="J63" s="66" t="n">
        <x:v>-43480.89978963521</x:v>
      </x:c>
    </x:row>
    <x:row r="64">
      <x:c r="A64" t="n">
        <x:v>3</x:v>
      </x:c>
      <x:c r="B64" s="58" t="n">
        <x:v>44713</x:v>
      </x:c>
      <x:c r="C64" s="58" t="n">
        <x:v>44866</x:v>
      </x:c>
      <x:c r="D64" s="66" t="n">
        <x:v>37081035.95017979</x:v>
      </x:c>
      <x:c r="E64" s="62" t="n">
        <x:v>0.8670928141243948</x:v>
      </x:c>
      <x:c r="F64" s="66" t="n">
        <x:v>-3971445.2646918106</x:v>
      </x:c>
      <x:c r="G64" s="66" t="n">
        <x:v>-1643733.6389189179</x:v>
      </x:c>
      <x:c r="H64" s="66" t="n">
        <x:v>-1090105.0012288014</x:v>
      </x:c>
      <x:c r="I64" s="66" t="n">
        <x:v>522982.47293003026</x:v>
      </x:c>
      <x:c r="J64" s="66" t="n">
        <x:v>498554.48208928877</x:v>
      </x:c>
    </x:row>
    <x:row r="65">
      <x:c r="A65" t="n">
        <x:v>4</x:v>
      </x:c>
      <x:c r="B65" s="58" t="n">
        <x:v>44743</x:v>
      </x:c>
      <x:c r="C65" s="58" t="n">
        <x:v>44896</x:v>
      </x:c>
      <x:c r="D65" s="66" t="n">
        <x:v>37767428.573998444</x:v>
      </x:c>
      <x:c r="E65" s="62" t="n">
        <x:v>0.883143231717387</x:v>
      </x:c>
      <x:c r="F65" s="66" t="n">
        <x:v>-3625153.687959872</x:v>
      </x:c>
      <x:c r="G65" s="66" t="n">
        <x:v>-1903959.8048780477</x:v>
      </x:c>
      <x:c r="H65" s="66" t="n">
        <x:v>-1139969.221025966</x:v>
      </x:c>
      <x:c r="I65" s="66" t="n">
        <x:v>520654.3718897108</x:v>
      </x:c>
      <x:c r="J65" s="66" t="n">
        <x:v>1151074.0159726178</x:v>
      </x:c>
    </x:row>
    <x:row r="66">
      <x:c r="A66" t="n">
        <x:v>5</x:v>
      </x:c>
      <x:c r="B66" s="58" t="n">
        <x:v>44774</x:v>
      </x:c>
      <x:c r="C66" s="58" t="n">
        <x:v>44927</x:v>
      </x:c>
      <x:c r="D66" s="66" t="n">
        <x:v>38883756.55285442</x:v>
      </x:c>
      <x:c r="E66" s="62" t="n">
        <x:v>0.909247140194284</x:v>
      </x:c>
      <x:c r="F66" s="66" t="n">
        <x:v>-2408257.2026394345</x:v>
      </x:c>
      <x:c r="G66" s="66" t="n">
        <x:v>-1838438.8671023957</x:v>
      </x:c>
      <x:c r="H66" s="66" t="n">
        <x:v>-1027851.2979683969</x:v>
      </x:c>
      <x:c r="I66" s="66" t="n">
        <x:v>303632.38481015776</x:v>
      </x:c>
      <x:c r="J66" s="66" t="n">
        <x:v>1089888.6357544898</x:v>
      </x:c>
    </x:row>
    <x:row r="67">
      <x:c r="A67" t="n">
        <x:v>6</x:v>
      </x:c>
      <x:c r="B67" s="58" t="n">
        <x:v>44805</x:v>
      </x:c>
      <x:c r="C67" s="58" t="n">
        <x:v>44958</x:v>
      </x:c>
      <x:c r="D67" s="66" t="n">
        <x:v>40104990.03891444</x:v>
      </x:c>
      <x:c r="E67" s="62" t="n">
        <x:v>0.9378041303914685</x:v>
      </x:c>
      <x:c r="F67" s="66" t="n">
        <x:v>-1615446.0780861522</x:v>
      </x:c>
      <x:c r="G67" s="66" t="n">
        <x:v>-1417638.330658106</x:v>
      </x:c>
      <x:c r="H67" s="66" t="n">
        <x:v>-674163.807890222</x:v>
      </x:c>
      <x:c r="I67" s="66" t="n">
        <x:v>227941.3436026712</x:v>
      </x:c>
      <x:c r="J67" s="66" t="n">
        <x:v>819514.0119462414</x:v>
      </x:c>
    </x:row>
    <x:row r="68">
      <x:c r="A68" t="n">
        <x:v>7</x:v>
      </x:c>
      <x:c r="B68" s="58" t="n">
        <x:v>44835</x:v>
      </x:c>
      <x:c r="C68" s="58" t="n">
        <x:v>44986</x:v>
      </x:c>
      <x:c r="D68" s="66" t="n">
        <x:v>39788358.6061697</x:v>
      </x:c>
      <x:c r="E68" s="62" t="n">
        <x:v>0.9304001074718352</x:v>
      </x:c>
      <x:c r="F68" s="66" t="n">
        <x:v>-2123568.737630186</x:v>
      </x:c>
      <x:c r="G68" s="66" t="n">
        <x:v>-1104542.905982906</x:v>
      </x:c>
      <x:c r="H68" s="66" t="n">
        <x:v>-279198.2412060308</x:v>
      </x:c>
      <x:c r="I68" s="66" t="n">
        <x:v>334447.7289121725</x:v>
      </x:c>
      <x:c r="J68" s="66" t="n">
        <x:v>196437.86207664845</x:v>
      </x:c>
    </x:row>
    <x:row r="69">
      <x:c r="A69" t="n">
        <x:v>8</x:v>
      </x:c>
      <x:c r="B69" s="58" t="n">
        <x:v>44866</x:v>
      </x:c>
      <x:c r="C69" s="58" t="n">
        <x:v>45017</x:v>
      </x:c>
      <x:c r="D69" s="66" t="n">
        <x:v>37497700.943086796</x:v>
      </x:c>
      <x:c r="E69" s="62" t="n">
        <x:v>0.8768359944857056</x:v>
      </x:c>
      <x:c r="F69" s="66" t="n">
        <x:v>-3554221.739431676</x:v>
      </x:c>
      <x:c r="G69" s="66" t="n">
        <x:v>-1574780.3188565152</x:v>
      </x:c>
      <x:c r="H69" s="66" t="n">
        <x:v>-1101615.009590793</x:v>
      </x:c>
      <x:c r="I69" s="66" t="n">
        <x:v>389752.91338729754</x:v>
      </x:c>
      <x:c r="J69" s="66" t="n">
        <x:v>573782.1975784847</x:v>
      </x:c>
    </x:row>
    <x:row r="70">
      <x:c r="A70" t="n">
        <x:v>9</x:v>
      </x:c>
      <x:c r="B70" s="58" t="n">
        <x:v>44896</x:v>
      </x:c>
      <x:c r="C70" s="58" t="n">
        <x:v>45047</x:v>
      </x:c>
      <x:c r="D70" s="66" t="n">
        <x:v>40406633.97192401</x:v>
      </x:c>
      <x:c r="E70" s="62" t="n">
        <x:v>0.9448576897118776</x:v>
      </x:c>
      <x:c r="F70" s="66" t="n">
        <x:v>-1752819.6700160266</x:v>
      </x:c>
      <x:c r="G70" s="66" t="n">
        <x:v>-1145312.568888891</x:v>
      </x:c>
      <x:c r="H70" s="66" t="n">
        <x:v>-404026.024554729</x:v>
      </x:c>
      <x:c r="I70" s="66" t="n">
        <x:v>277412.91228148807</x:v>
      </x:c>
      <x:c r="J70" s="66" t="n">
        <x:v>666596.4231021658</x:v>
      </x:c>
    </x:row>
    <x:row r="71">
      <x:c r="A71" t="n">
        <x:v>10</x:v>
      </x:c>
      <x:c r="B71" s="58" t="n">
        <x:v>44927</x:v>
      </x:c>
      <x:c r="C71" s="58" t="n">
        <x:v>45078</x:v>
      </x:c>
      <x:c r="D71" s="66" t="n">
        <x:v>39690617.6995551</x:v>
      </x:c>
      <x:c r="E71" s="62" t="n">
        <x:v>0.9281145608143635</x:v>
      </x:c>
      <x:c r="F71" s="66" t="n">
        <x:v>-1831661.8767903452</x:v>
      </x:c>
      <x:c r="G71" s="66" t="n">
        <x:v>-1127892.4733876039</x:v>
      </x:c>
      <x:c r="H71" s="66" t="n">
        <x:v>-396383.38320718147</x:v>
      </x:c>
      <x:c r="I71" s="66" t="n">
        <x:v>288456.7272061689</x:v>
      </x:c>
      <x:c r="J71" s="66" t="n">
        <x:v>-6684.194265941915</x:v>
      </x:c>
    </x:row>
    <x:row r="72">
      <x:c r="A72" t="n">
        <x:v>11</x:v>
      </x:c>
      <x:c r="B72" s="58" t="n">
        <x:v>44958</x:v>
      </x:c>
      <x:c r="C72" s="58" t="n">
        <x:v>45108</x:v>
      </x:c>
      <x:c r="D72" s="66" t="n">
        <x:v>43560151.90763194</x:v>
      </x:c>
      <x:c r="E72" s="62" t="n">
        <x:v>1.0185986915797471</x:v>
      </x:c>
      <x:c r="F72" s="66" t="n">
        <x:v>1582399.9373087513</x:v>
      </x:c>
      <x:c r="G72" s="66" t="n">
        <x:v>-478987.2683096146</x:v>
      </x:c>
      <x:c r="H72" s="66" t="n">
        <x:v>-329192.5062129609</x:v>
      </x:c>
      <x:c r="I72" s="66" t="n">
        <x:v>-276301.4278815078</x:v>
      </x:c>
      <x:c r="J72" s="66" t="n">
        <x:v>297450.27272727323</x:v>
      </x:c>
    </x:row>
    <x:row r="73">
      <x:c r="A73" t="n">
        <x:v>12</x:v>
      </x:c>
      <x:c r="B73" s="58" t="n">
        <x:v>44986</x:v>
      </x:c>
      <x:c r="C73" s="58" t="n">
        <x:v>45139</x:v>
      </x:c>
      <x:c r="D73" s="66" t="n">
        <x:v>46091740.046098456</x:v>
      </x:c>
      <x:c r="E73" s="62" t="n">
        <x:v>1.0777966569800699</x:v>
      </x:c>
      <x:c r="F73" s="66" t="n">
        <x:v>3002465.334153102</x:v>
      </x:c>
      <x:c r="G73" s="66" t="n">
        <x:v>215617.56097561005</x:v>
      </x:c>
      <x:c r="H73" s="66" t="n">
        <x:v>263687.39703459665</x:v>
      </x:c>
      <x:c r="I73" s="66" t="n">
        <x:v>-353483.4754025413</x:v>
      </x:c>
      <x:c r="J73" s="66" t="n">
        <x:v>198670.32933769177</x:v>
      </x:c>
    </x:row>
    <x:row r="74">
      <x:c r="A74" t="n">
        <x:v>13</x:v>
      </x:c>
      <x:c r="B74" s="58" t="n">
        <x:v>45017</x:v>
      </x:c>
      <x:c r="C74" s="58" t="n">
        <x:v>45170</x:v>
      </x:c>
      <x:c r="D74" s="66" t="n">
        <x:v>40058937.35144439</x:v>
      </x:c>
      <x:c r="E74" s="62" t="n">
        <x:v>0.9367272469292577</x:v>
      </x:c>
      <x:c r="F74" s="66" t="n">
        <x:v>-2023769.2314541016</x:v>
      </x:c>
      <x:c r="G74" s="66" t="n">
        <x:v>-370100.06825938704</x:v>
      </x:c>
      <x:c r="H74" s="66" t="n">
        <x:v>-257915.4285714277</x:v>
      </x:c>
      <x:c r="I74" s="66" t="n">
        <x:v>267498.5320179766</x:v>
      </x:c>
      <x:c r="J74" s="66" t="n">
        <x:v>-321559.35228866467</x:v>
      </x:c>
    </x:row>
    <x:row r="75">
      <x:c r="A75" t="n">
        <x:v>14</x:v>
      </x:c>
      <x:c r="B75" s="58" t="n">
        <x:v>45047</x:v>
      </x:c>
      <x:c r="C75" s="58" t="n">
        <x:v>45200</x:v>
      </x:c>
      <x:c r="D75" s="66" t="n">
        <x:v>39885306.67819929</x:v>
      </x:c>
      <x:c r="E75" s="62" t="n">
        <x:v>0.9326671147019735</x:v>
      </x:c>
      <x:c r="F75" s="66" t="n">
        <x:v>-2138528.753359168</x:v>
      </x:c>
      <x:c r="G75" s="66" t="n">
        <x:v>-521404.4000000006</x:v>
      </x:c>
      <x:c r="H75" s="66" t="n">
        <x:v>-573359.3042217786</x:v>
      </x:c>
      <x:c r="I75" s="66" t="n">
        <x:v>246588.6837953607</x:v>
      </x:c>
      <x:c r="J75" s="66" t="n">
        <x:v>107227.55198487674</x:v>
      </x:c>
    </x:row>
    <x:row r="76">
      <x:c r="A76" t="n">
        <x:v>15</x:v>
      </x:c>
      <x:c r="B76" s="58" t="n">
        <x:v>45078</x:v>
      </x:c>
      <x:c r="C76" s="58" t="n">
        <x:v>45231</x:v>
      </x:c>
      <x:c r="D76" s="66" t="n">
        <x:v>42582034.081012726</x:v>
      </x:c>
      <x:c r="E76" s="62" t="n">
        <x:v>0.9957266515437572</x:v>
      </x:c>
      <x:c r="F76" s="66" t="n">
        <x:v>582093.0648555348</x:v>
      </x:c>
      <x:c r="G76" s="66" t="n">
        <x:v>-82658.06722689164</x:v>
      </x:c>
      <x:c r="H76" s="66" t="n">
        <x:v>78058.68042039732</x:v>
      </x:c>
      <x:c r="I76" s="66" t="n">
        <x:v>-70247.03526341988</x:v>
      </x:c>
      <x:c r="J76" s="66" t="n">
        <x:v>-689995.4617728913</x:v>
      </x:c>
    </x:row>
    <x:row r="77">
      <x:c r="A77" t="n">
        <x:v>16</x:v>
      </x:c>
      <x:c r="B77" s="58" t="n">
        <x:v>45108</x:v>
      </x:c>
      <x:c r="C77" s="58" t="n">
        <x:v>45261</x:v>
      </x:c>
      <x:c r="D77" s="66" t="n">
        <x:v>46793555.84833884</x:v>
      </x:c>
      <x:c r="E77" s="62" t="n">
        <x:v>1.0942077259636653</x:v>
      </x:c>
      <x:c r="F77" s="66" t="n">
        <x:v>3882170.3005775535</x:v>
      </x:c>
      <x:c r="G77" s="66" t="n">
        <x:v>875626.2339622625</x:v>
      </x:c>
      <x:c r="H77" s="66" t="n">
        <x:v>540067.9833679828</x:v>
      </x:c>
      <x:c r="I77" s="66" t="n">
        <x:v>-543764.1043097414</x:v>
      </x:c>
      <x:c r="J77" s="66" t="n">
        <x:v>-725327.4652592189</x:v>
      </x:c>
    </x:row>
    <x:row r="78">
      <x:c r="A78" t="n">
        <x:v>17</x:v>
      </x:c>
      <x:c r="B78" s="58" t="n">
        <x:v>45139</x:v>
      </x:c>
      <x:c r="C78" s="58" t="n">
        <x:v>45292</x:v>
      </x:c>
      <x:c r="D78" s="66" t="n">
        <x:v>51204509.1246584</x:v>
      </x:c>
      <x:c r="E78" s="62" t="n">
        <x:v>1.1973522523052116</x:v>
      </x:c>
      <x:c r="F78" s="66" t="n">
        <x:v>6736964.073288002</x:v>
      </x:c>
      <x:c r="G78" s="66" t="n">
        <x:v>1721618.3018867902</x:v>
      </x:c>
      <x:c r="H78" s="66" t="n">
        <x:v>1282600.4769130712</x:v>
      </x:c>
      <x:c r="I78" s="66" t="n">
        <x:v>-983151.3284655473</x:v>
      </x:c>
      <x:c r="J78" s="66" t="n">
        <x:v>-318305.29896392475</x:v>
      </x:c>
    </x:row>
    <x:row r="79">
      <x:c r="A79" t="n">
        <x:v>18</x:v>
      </x:c>
      <x:c r="B79" s="58" t="n">
        <x:v>45170</x:v>
      </x:c>
      <x:c r="C79" s="58" t="n">
        <x:v>45323</x:v>
      </x:c>
      <x:c r="D79" s="66" t="n">
        <x:v>49286551.66284782</x:v>
      </x:c>
      <x:c r="E79" s="62" t="n">
        <x:v>1.1525032590039834</x:v>
      </x:c>
      <x:c r="F79" s="66" t="n">
        <x:v>4352187.419330059</x:v>
      </x:c>
      <x:c r="G79" s="66" t="n">
        <x:v>1375365.96309963</x:v>
      </x:c>
      <x:c r="H79" s="66" t="n">
        <x:v>1219199.4047619053</x:v>
      </x:c>
      <x:c r="I79" s="66" t="n">
        <x:v>-478198.3598051874</x:v>
      </x:c>
      <x:c r="J79" s="66" t="n">
        <x:v>53214.33546140563</x:v>
      </x:c>
    </x:row>
    <x:row r="80">
      <x:c r="A80" t="n">
        <x:v>19</x:v>
      </x:c>
      <x:c r="B80" s="58" t="n">
        <x:v>45200</x:v>
      </x:c>
      <x:c r="C80" s="58" t="n">
        <x:v>45352</x:v>
      </x:c>
      <x:c r="D80" s="66" t="n">
        <x:v>45584569.47161136</x:v>
      </x:c>
      <x:c r="E80" s="62" t="n">
        <x:v>1.0659371188252043</x:v>
      </x:c>
      <x:c r="F80" s="66" t="n">
        <x:v>1746557.5395705798</x:v>
      </x:c>
      <x:c r="G80" s="66" t="n">
        <x:v>463852.8806722672</x:v>
      </x:c>
      <x:c r="H80" s="66" t="n">
        <x:v>293700.00000000047</x:v>
      </x:c>
      <x:c r="I80" s="66" t="n">
        <x:v>-244994.9433818123</x:v>
      </x:c>
      <x:c r="J80" s="66" t="n">
        <x:v>560671.0947503203</x:v>
      </x:c>
    </x:row>
    <x:row r="81">
      <x:c r="A81" t="n">
        <x:v>20</x:v>
      </x:c>
      <x:c r="B81" s="58" t="n">
        <x:v>45231</x:v>
      </x:c>
      <x:c r="C81" s="58" t="n">
        <x:v>45383</x:v>
      </x:c>
      <x:c r="D81" s="66" t="n">
        <x:v>44840380.38121753</x:v>
      </x:c>
      <x:c r="E81" s="62" t="n">
        <x:v>1.0485352044478058</x:v>
      </x:c>
      <x:c r="F81" s="66" t="n">
        <x:v>989782.8526501292</x:v>
      </x:c>
      <x:c r="G81" s="66" t="n">
        <x:v>667324.8096192384</x:v>
      </x:c>
      <x:c r="H81" s="66" t="n">
        <x:v>172607.38666199986</x:v>
      </x:c>
      <x:c r="I81" s="66" t="n">
        <x:v>-222224.85248204748</x:v>
      </x:c>
      <x:c r="J81" s="66" t="n">
        <x:v>468107.284768212</x:v>
      </x:c>
    </x:row>
    <x:row r="82">
      <x:c r="A82" t="n">
        <x:v>21</x:v>
      </x:c>
      <x:c r="B82" s="58" t="n">
        <x:v>45261</x:v>
      </x:c>
      <x:c r="C82" s="58" t="n">
        <x:v>45413</x:v>
      </x:c>
      <x:c r="D82" s="66" t="n">
        <x:v>44813007.308363125</x:v>
      </x:c>
      <x:c r="E82" s="62" t="n">
        <x:v>1.0478951199904987</x:v>
      </x:c>
      <x:c r="F82" s="66" t="n">
        <x:v>726428.7317736675</x:v>
      </x:c>
      <x:c r="G82" s="66" t="n">
        <x:v>803225.7314629259</x:v>
      </x:c>
      <x:c r="H82" s="66" t="n">
        <x:v>499787.10735243466</x:v>
      </x:c>
      <x:c r="I82" s="66" t="n">
        <x:v>15086.732155572245</x:v>
      </x:c>
      <x:c r="J82" s="66" t="n">
        <x:v>3696.1056185194757</x:v>
      </x:c>
    </x:row>
    <x:row r="83">
      <x:c r="A83" t="n">
        <x:v>22</x:v>
      </x:c>
      <x:c r="B83" s="58" t="n">
        <x:v>45292</x:v>
      </x:c>
      <x:c r="C83" s="58" t="n">
        <x:v>45444</x:v>
      </x:c>
      <x:c r="D83" s="66" t="n">
        <x:v>41032454.01207392</x:v>
      </x:c>
      <x:c r="E83" s="62" t="n">
        <x:v>0.9594916945567826</x:v>
      </x:c>
      <x:c r="F83" s="66" t="n">
        <x:v>-1175146.4910739106</x:v>
      </x:c>
      <x:c r="G83" s="66" t="n">
        <x:v>12528.716195212677</x:v>
      </x:c>
      <x:c r="H83" s="66" t="n">
        <x:v>-219280.32388663897</x:v>
      </x:c>
      <x:c r="I83" s="66" t="n">
        <x:v>107854.63528856647</x:v>
      </x:c>
      <x:c r="J83" s="66" t="n">
        <x:v>-458285.42444931075</x:v>
      </x:c>
    </x:row>
    <x:row r="84">
      <x:c r="A84" t="n">
        <x:v>23</x:v>
      </x:c>
      <x:c r="B84" s="58" t="n">
        <x:v>45323</x:v>
      </x:c>
      <x:c r="C84" s="58" t="n">
        <x:v>45474</x:v>
      </x:c>
      <x:c r="D84" s="66" t="n">
        <x:v>44725937.37170654</x:v>
      </x:c>
      <x:c r="E84" s="62" t="n">
        <x:v>1.0458591003792175</x:v>
      </x:c>
      <x:c r="F84" s="66" t="n">
        <x:v>1831665.8701065222</x:v>
      </x:c>
      <x:c r="G84" s="66" t="n">
        <x:v>414010.817772056</x:v>
      </x:c>
      <x:c r="H84" s="66" t="n">
        <x:v>210185.65113906888</x:v>
      </x:c>
      <x:c r="I84" s="66" t="n">
        <x:v>-266251.11493966385</x:v>
      </x:c>
      <x:c r="J84" s="66" t="n">
        <x:v>-228456.75237144274</x:v>
      </x:c>
    </x:row>
    <x:row r="85">
      <x:c r="A85" t="n">
        <x:v>24</x:v>
      </x:c>
      <x:c r="B85" s="58" t="n">
        <x:v>45352</x:v>
      </x:c>
      <x:c r="C85" s="58" t="n">
        <x:v>45505</x:v>
      </x:c>
      <x:c r="D85" s="66" t="n">
        <x:v>43868427.99917347</x:v>
      </x:c>
      <x:c r="E85" s="62" t="n">
        <x:v>1.0258073354833628</x:v>
      </x:c>
      <x:c r="F85" s="66" t="n">
        <x:v>939395.1353526912</x:v>
      </x:c>
      <x:c r="G85" s="66" t="n">
        <x:v>59977.5</x:v>
      </x:c>
      <x:c r="H85" s="66" t="n">
        <x:v>249457.62711864524</x:v>
      </x:c>
      <x:c r="I85" s="66" t="n">
        <x:v>-45808.33651301224</x:v>
      </x:c>
      <x:c r="J85" s="66" t="n">
        <x:v>-99376.82678485813</x:v>
      </x:c>
    </x:row>
    <x:row r="86">
      <x:c r="A86" t="n">
        <x:v>25</x:v>
      </x:c>
      <x:c r="B86" s="58" t="n">
        <x:v>45383</x:v>
      </x:c>
      <x:c r="C86" s="58" t="n">
        <x:v>45536</x:v>
      </x:c>
      <x:c r="D86" s="66" t="n">
        <x:v>40599219.967136204</x:v>
      </x:c>
      <x:c r="E86" s="62" t="n">
        <x:v>0.9493610680094486</x:v>
      </x:c>
      <x:c r="F86" s="66" t="n">
        <x:v>-1974867.3182221807</x:v>
      </x:c>
      <x:c r="G86" s="66" t="n">
        <x:v>-348959.99999999977</x:v>
      </x:c>
      <x:c r="H86" s="66" t="n">
        <x:v>-178040.32258064486</x:v>
      </x:c>
      <x:c r="I86" s="66" t="n">
        <x:v>228004.94795776505</x:v>
      </x:c>
      <x:c r="J86" s="66" t="n">
        <x:v>108299.75998126616</x:v>
      </x:c>
    </x:row>
    <x:row r="87">
      <x:c r="A87" t="n">
        <x:v>26</x:v>
      </x:c>
      <x:c r="B87" s="58" t="n">
        <x:v>45413</x:v>
      </x:c>
      <x:c r="C87" s="58" t="n">
        <x:v>45566</x:v>
      </x:c>
      <x:c r="D87" s="66" t="n">
        <x:v>42388257.01416949</x:v>
      </x:c>
      <x:c r="E87" s="62" t="n">
        <x:v>0.9911954215525667</x:v>
      </x:c>
      <x:c r="F87" s="66" t="n">
        <x:v>-564805.1274247922</x:v>
      </x:c>
      <x:c r="G87" s="66" t="n">
        <x:v>-523439.99999999953</x:v>
      </x:c>
      <x:c r="H87" s="66" t="n">
        <x:v>-60319.672131147236</x:v>
      </x:c>
      <x:c r="I87" s="66" t="n">
        <x:v>103042.0547083054</x:v>
      </x:c>
      <x:c r="J87" s="66" t="n">
        <x:v>668996.8590171223</x:v>
      </x:c>
    </x:row>
    <x:row r="88">
      <x:c r="A88" t="n">
        <x:v>27</x:v>
      </x:c>
      <x:c r="B88" s="58" t="n">
        <x:v>45444</x:v>
      </x:c>
      <x:c r="C88" s="58" t="n">
        <x:v>45597</x:v>
      </x:c>
      <x:c r="D88" s="66" t="n">
        <x:v>39615299.320649646</x:v>
      </x:c>
      <x:c r="E88" s="62" t="n">
        <x:v>0.9263533364190105</x:v>
      </x:c>
      <x:c r="F88" s="66" t="n">
        <x:v>-2539917.3947418844</x:v>
      </x:c>
      <x:c r="G88" s="66" t="n">
        <x:v>-697919.9999999993</x:v>
      </x:c>
      <x:c r="H88" s="66" t="n">
        <x:v>-474774.1935483869</x:v>
      </x:c>
      <x:c r="I88" s="66" t="n">
        <x:v>345724.95083594305</x:v>
      </x:c>
      <x:c r="J88" s="66" t="n">
        <x:v>217403.05810397543</x:v>
      </x:c>
    </x:row>
    <x:row r="89">
      <x:c r="A89" t="n">
        <x:v>28</x:v>
      </x:c>
      <x:c r="B89" s="58" t="n">
        <x:v>45474</x:v>
      </x:c>
      <x:c r="C89" s="58" t="n">
        <x:v>45627</x:v>
      </x:c>
      <x:c r="D89" s="66" t="n">
        <x:v>39785876.8202848</x:v>
      </x:c>
      <x:c r="E89" s="62" t="n">
        <x:v>0.9303420740687263</x:v>
      </x:c>
      <x:c r="F89" s="66" t="n">
        <x:v>-2625724.5441895304</x:v>
      </x:c>
      <x:c r="G89" s="66" t="n">
        <x:v>-599775</x:v>
      </x:c>
      <x:c r="H89" s="66" t="n">
        <x:v>-367950</x:v>
      </x:c>
      <x:c r="I89" s="66" t="n">
        <x:v>361675.47055334656</x:v>
      </x:c>
      <x:c r="J89" s="66" t="n">
        <x:v>252867.9939209728</x:v>
      </x:c>
    </x:row>
    <x:row r="90">
      <x:c r="A90" t="n">
        <x:v>29</x:v>
      </x:c>
      <x:c r="B90" s="58" t="n">
        <x:v>45505</x:v>
      </x:c>
      <x:c r="C90" s="58" t="n">
        <x:v>45658</x:v>
      </x:c>
      <x:c r="D90" s="66" t="n">
        <x:v>39471526.07275594</x:v>
      </x:c>
      <x:c r="E90" s="62" t="n">
        <x:v>0.9229913820690983</x:v>
      </x:c>
      <x:c r="F90" s="66" t="n">
        <x:v>-2632359.4767598286</x:v>
      </x:c>
      <x:c r="G90" s="66" t="n">
        <x:v>-959640</x:v>
      </x:c>
      <x:c r="H90" s="66" t="n">
        <x:v>-674575</x:v>
      </x:c>
      <x:c r="I90" s="66" t="n">
        <x:v>373332.27077238227</x:v>
      </x:c>
      <x:c r="J90" s="66" t="n">
        <x:v>599985.3787433945</x:v>
      </x:c>
    </x:row>
    <x:row r="91">
      <x:c r="A91" t="n">
        <x:v>30</x:v>
      </x:c>
      <x:c r="B91" s="58" t="n">
        <x:v>45536</x:v>
      </x:c>
      <x:c r="C91" s="58" t="n">
        <x:v>45689</x:v>
      </x:c>
      <x:c r="D91" s="66" t="n">
        <x:v>38755407.27885974</x:v>
      </x:c>
      <x:c r="E91" s="62" t="n">
        <x:v>0.9062458558361989</x:v>
      </x:c>
      <x:c r="F91" s="66" t="n">
        <x:v>-2898706.3984114546</x:v>
      </x:c>
      <x:c r="G91" s="66" t="n">
        <x:v>-866771.6129032248</x:v>
      </x:c>
      <x:c r="H91" s="66" t="n">
        <x:v>-997830.5084745763</x:v>
      </x:c>
      <x:c r="I91" s="66" t="n">
        <x:v>402394.75778289704</x:v>
      </x:c>
      <x:c r="J91" s="66" t="n">
        <x:v>351538.140866103</x:v>
      </x:c>
    </x:row>
    <x:row r="92">
      <x:c r="A92" t="n">
        <x:v>31</x:v>
      </x:c>
      <x:c r="B92" s="58" t="n">
        <x:v>45566</x:v>
      </x:c>
      <x:c r="C92" s="58" t="n">
        <x:v>45717</x:v>
      </x:c>
      <x:c r="D92" s="66" t="n">
        <x:v>38724599.612374276</x:v>
      </x:c>
      <x:c r="E92" s="62" t="n">
        <x:v>0.9055254577797536</x:v>
      </x:c>
      <x:c r="F92" s="66" t="n">
        <x:v>-2755464.096315192</x:v>
      </x:c>
      <x:c r="G92" s="66" t="n">
        <x:v>-679425.1199999994</x:v>
      </x:c>
      <x:c r="H92" s="66" t="n">
        <x:v>-788464.2857142854</x:v>
      </x:c>
      <x:c r="I92" s="66" t="n">
        <x:v>338607.1571219419</x:v>
      </x:c>
      <x:c r="J92" s="66" t="n">
        <x:v>-155436.94271818397</x:v>
      </x:c>
    </x:row>
    <x:row r="93">
      <x:c r="A93" t="n">
        <x:v>32</x:v>
      </x:c>
      <x:c r="B93" s="58" t="n">
        <x:v>45597</x:v>
      </x:c>
      <x:c r="C93" s="58" t="n">
        <x:v>45748</x:v>
      </x:c>
      <x:c r="D93" s="66" t="n">
        <x:v>39159240.58362013</x:v>
      </x:c>
      <x:c r="E93" s="62" t="n">
        <x:v>0.915688983507505</x:v>
      </x:c>
      <x:c r="F93" s="66" t="n">
        <x:v>-2514323.2959067305</x:v>
      </x:c>
      <x:c r="G93" s="66" t="n">
        <x:v>-743401.119999999</x:v>
      </x:c>
      <x:c r="H93" s="66" t="n">
        <x:v>-817666.6666666665</x:v>
      </x:c>
      <x:c r="I93" s="66" t="n">
        <x:v>319956.0979401878</x:v>
      </x:c>
      <x:c r="J93" s="66" t="n">
        <x:v>149892.66825333884</x:v>
      </x:c>
    </x:row>
    <x:row r="94">
      <x:c r="A94" t="n">
        <x:v>33</x:v>
      </x:c>
      <x:c r="B94" s="58" t="n">
        <x:v>45627</x:v>
      </x:c>
      <x:c r="C94" s="58" t="n">
        <x:v>45778</x:v>
      </x:c>
      <x:c r="D94" s="66" t="n">
        <x:v>40706806.30645843</x:v>
      </x:c>
      <x:c r="E94" s="62" t="n">
        <x:v>0.9518768375755844</x:v>
      </x:c>
      <x:c r="F94" s="66" t="n">
        <x:v>-1203126.9540827356</x:v>
      </x:c>
      <x:c r="G94" s="66" t="n">
        <x:v>-633362.3999999997</x:v>
      </x:c>
      <x:c r="H94" s="66" t="n">
        <x:v>-519545.3999999999</x:v>
      </x:c>
      <x:c r="I94" s="66" t="n">
        <x:v>165132.0677368623</x:v>
      </x:c>
      <x:c r="J94" s="66" t="n">
        <x:v>132926.09280430432</x:v>
      </x:c>
    </x:row>
    <x:row r="95">
      <x:c r="A95" t="n">
        <x:v>34</x:v>
      </x:c>
      <x:c r="B95" s="58" t="n">
        <x:v>45658</x:v>
      </x:c>
      <x:c r="C95" s="58" t="n">
        <x:v>45809</x:v>
      </x:c>
      <x:c r="D95" s="66" t="n">
        <x:v>43802626.24266843</x:v>
      </x:c>
      <x:c r="E95" s="62" t="n">
        <x:v>1.0242686451862808</x:v>
      </x:c>
      <x:c r="F95" s="66" t="n">
        <x:v>1515583.7744935509</x:v>
      </x:c>
      <x:c r="G95" s="66" t="n">
        <x:v>-407846.99999999884</x:v>
      </x:c>
      <x:c r="H95" s="66" t="n">
        <x:v>0</x:v>
      </x:c>
      <x:c r="I95" s="66" t="n">
        <x:v>-210180.63057952892</x:v>
      </x:c>
      <x:c r="J95" s="66" t="n">
        <x:v>140287.19875440048</x:v>
      </x:c>
    </x:row>
    <x:row r="96">
      <x:c r="A96" t="n">
        <x:v>35</x:v>
      </x:c>
      <x:c r="B96" s="58" t="n">
        <x:v>45689</x:v>
      </x:c>
      <x:c r="C96" s="58" t="n">
        <x:v>45839</x:v>
      </x:c>
      <x:c r="D96" s="66" t="n">
        <x:v>49824554.358875774</x:v>
      </x:c>
      <x:c r="E96" s="62" t="n">
        <x:v>1.1650837670656287</x:v>
      </x:c>
      <x:c r="F96" s="66" t="n">
        <x:v>6831551.2880996475</x:v>
      </x:c>
      <x:c r="G96" s="66" t="n">
        <x:v>533707.4769230792</x:v>
      </x:c>
      <x:c r="H96" s="66" t="n">
        <x:v>15997.826086956542</x:v>
      </x:c>
      <x:c r="I96" s="66" t="n">
        <x:v>-928285.2773077107</x:v>
      </x:c>
      <x:c r="J96" s="66" t="n">
        <x:v>606800.1450737983</x:v>
      </x:c>
    </x:row>
    <x:row r="97">
      <x:c r="A97" t="n">
        <x:v>36</x:v>
      </x:c>
      <x:c r="B97" s="58" t="n">
        <x:v>45717</x:v>
      </x:c>
      <x:c r="C97" s="58" t="n">
        <x:v>45870</x:v>
      </x:c>
      <x:c r="D97" s="66" t="n">
        <x:v>46942517.99656822</x:v>
      </x:c>
      <x:c r="E97" s="62" t="n">
        <x:v>1.09769101614142</x:v>
      </x:c>
      <x:c r="F97" s="66" t="n">
        <x:v>4005008.5152153512</x:v>
      </x:c>
      <x:c r="G97" s="66" t="n">
        <x:v>283626.9333333317</x:v>
      </x:c>
      <x:c r="H97" s="66" t="n">
        <x:v>145580.2173913042</x:v>
      </x:c>
      <x:c r="I97" s="66" t="n">
        <x:v>-613644.8389900175</x:v>
      </x:c>
      <x:c r="J97" s="66" t="n">
        <x:v>357164.2696182395</x:v>
      </x:c>
    </x:row>
    <x:row r="98">
      <x:c r="A98" t="n">
        <x:v>37</x:v>
      </x:c>
      <x:c r="B98" s="58" t="n">
        <x:v>45748</x:v>
      </x:c>
      <x:c r="C98" s="58" t="n">
        <x:v>45901</x:v>
      </x:c>
      <x:c r="D98" s="66" t="n">
        <x:v>46004039.44050054</x:v>
      </x:c>
      <x:c r="E98" s="62" t="n">
        <x:v>1.0757458899785632</x:v>
      </x:c>
      <x:c r="F98" s="66" t="n">
        <x:v>2564148.718711571</x:v>
      </x:c>
      <x:c r="G98" s="66" t="n">
        <x:v>307729.7005113214</x:v>
      </x:c>
      <x:c r="H98" s="66" t="n">
        <x:v>303358.86237750296</x:v>
      </x:c>
      <x:c r="I98" s="66" t="n">
        <x:v>-298549.3510269772</x:v>
      </x:c>
      <x:c r="J98" s="66" t="n">
        <x:v>362568.60992712784</x:v>
      </x:c>
    </x:row>
    <x:row r="99">
      <x:c r="A99" t="n">
        <x:v>38</x:v>
      </x:c>
      <x:c r="B99" s="58" t="n">
        <x:v>45778</x:v>
      </x:c>
      <x:c r="C99" s="58" t="n">
        <x:v>45931</x:v>
      </x:c>
      <x:c r="D99" s="66" t="n">
        <x:v>45757121.13231162</x:v>
      </x:c>
      <x:c r="E99" s="62" t="n">
        <x:v>1.0699720197179259</x:v>
      </x:c>
      <x:c r="F99" s="66" t="n">
        <x:v>2044443.5408924841</x:v>
      </x:c>
      <x:c r="G99" s="66" t="n">
        <x:v>507542.9333333296</x:v>
      </x:c>
      <x:c r="H99" s="66" t="n">
        <x:v>671108.8043478257</x:v>
      </x:c>
      <x:c r="I99" s="66" t="n">
        <x:v>-294547.9239957578</x:v>
      </x:c>
      <x:c r="J99" s="66" t="n">
        <x:v>63790.87773374369</x:v>
      </x:c>
    </x:row>
    <x:row r="100">
      <x:c r="A100" t="n">
        <x:v>39</x:v>
      </x:c>
      <x:c r="B100" s="58" t="n">
        <x:v>45809</x:v>
      </x:c>
      <x:c r="C100" s="58" t="n">
        <x:v>45962</x:v>
      </x:c>
      <x:c r="D100" s="66" t="n">
        <x:v>48044263.34050441</x:v>
      </x:c>
      <x:c r="E100" s="62" t="n">
        <x:v>1.123453928267327</x:v>
      </x:c>
      <x:c r="F100" s="66" t="n">
        <x:v>4761467.152641974</x:v>
      </x:c>
      <x:c r="G100" s="66" t="n">
        <x:v>637158.3881700533</x:v>
      </x:c>
      <x:c r="H100" s="66" t="n">
        <x:v>924653.5714285718</x:v>
      </x:c>
      <x:c r="I100" s="66" t="n">
        <x:v>-690773.3808129986</x:v>
      </x:c>
      <x:c r="J100" s="66" t="n">
        <x:v>-353025.2909231954</x:v>
      </x:c>
    </x:row>
    <x:row r="101">
      <x:c r="A101" t="n">
        <x:v>40</x:v>
      </x:c>
      <x:c r="B101" s="58" t="n">
        <x:v>45839</x:v>
      </x:c>
      <x:c r="C101" s="58" t="n">
        <x:v>45992</x:v>
      </x:c>
      <x:c r="D101" s="66" t="n">
        <x:v>49004709.88541594</x:v>
      </x:c>
      <x:c r="E101" s="62" t="n">
        <x:v>1.1459127478796565</x:v>
      </x:c>
      <x:c r="F101" s="66" t="n">
        <x:v>4518168.795082469</x:v>
      </x:c>
      <x:c r="G101" s="66" t="n">
        <x:v>745675.8222222184</x:v>
      </x:c>
      <x:c r="H101" s="66" t="n">
        <x:v>1160832.0179180885</x:v>
      </x:c>
      <x:c r="I101" s="66" t="n">
        <x:v>-576567.5039501702</x:v>
      </x:c>
      <x:c r="J101" s="66" t="n">
        <x:v>391817.85414333735</x:v>
      </x:c>
    </x:row>
    <x:row r="104">
      <x:c r="A104" s="44" t="str">
        <x:v>12개월 Rolling Historical Path — 34개 실제 경로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15" t="str">
        <x:v>순번</x:v>
      </x:c>
      <x:c r="B105" s="15" t="str">
        <x:v>역사경로 시작</x:v>
      </x:c>
      <x:c r="C105" s="15" t="str">
        <x:v>역사경로 종료</x:v>
      </x:c>
      <x:c r="D105" s="15" t="str">
        <x:v>시장연동 공헌이익</x:v>
      </x:c>
      <x:c r="E105" s="15" t="str">
        <x:v>공헌이익 유지율</x:v>
      </x:c>
      <x:c r="F105" s="15" t="str">
        <x:v>A 영향</x:v>
      </x:c>
      <x:c r="G105" s="15" t="str">
        <x:v>C1 영향</x:v>
      </x:c>
      <x:c r="H105" s="15" t="str">
        <x:v>C2 영향</x:v>
      </x:c>
      <x:c r="I105" s="15" t="str">
        <x:v>D TC-in 영향</x:v>
      </x:c>
      <x:c r="J105" s="15" t="str">
        <x:v>Fuel 영향</x:v>
      </x:c>
    </x:row>
    <x:row r="106">
      <x:c r="A106" t="n">
        <x:v>1</x:v>
      </x:c>
      <x:c r="B106" s="58" t="n">
        <x:v>44652</x:v>
      </x:c>
      <x:c r="C106" s="58" t="n">
        <x:v>44986</x:v>
      </x:c>
      <x:c r="D106" s="66" t="n">
        <x:v>73454676.98045595</x:v>
      </x:c>
      <x:c r="E106" s="62" t="n">
        <x:v>0.8875517675312732</x:v>
      </x:c>
      <x:c r="F106" s="66" t="n">
        <x:v>-8100341.751842452</x:v>
      </x:c>
      <x:c r="G106" s="66" t="n">
        <x:v>-2049620.835472577</x:v>
      </x:c>
      <x:c r="H106" s="66" t="n">
        <x:v>-1974777.5229357802</x:v>
      </x:c>
      <x:c r="I106" s="66" t="n">
        <x:v>1055954.744864532</x:v>
      </x:c>
      <x:c r="J106" s="66" t="n">
        <x:v>1762456.5458422157</x:v>
      </x:c>
    </x:row>
    <x:row r="107">
      <x:c r="A107" t="n">
        <x:v>2</x:v>
      </x:c>
      <x:c r="B107" s="58" t="n">
        <x:v>44682</x:v>
      </x:c>
      <x:c r="C107" s="58" t="n">
        <x:v>45017</x:v>
      </x:c>
      <x:c r="D107" s="66" t="n">
        <x:v>71170553.44372025</x:v>
      </x:c>
      <x:c r="E107" s="62" t="n">
        <x:v>0.8599527368687471</x:v>
      </x:c>
      <x:c r="F107" s="66" t="n">
        <x:v>-7796545.072989823</x:v>
      </x:c>
      <x:c r="G107" s="66" t="n">
        <x:v>-2764630.671186438</x:v>
      </x:c>
      <x:c r="H107" s="66" t="n">
        <x:v>-2910789.1719745244</x:v>
      </x:c>
      <x:c r="I107" s="66" t="n">
        <x:v>966001.6113149179</x:v>
      </x:c>
      <x:c r="J107" s="66" t="n">
        <x:v>915510.9485561284</x:v>
      </x:c>
    </x:row>
    <x:row r="108">
      <x:c r="A108" t="n">
        <x:v>3</x:v>
      </x:c>
      <x:c r="B108" s="58" t="n">
        <x:v>44713</x:v>
      </x:c>
      <x:c r="C108" s="58" t="n">
        <x:v>45047</x:v>
      </x:c>
      <x:c r="D108" s="66" t="n">
        <x:v>68236084.81652223</x:v>
      </x:c>
      <x:c r="E108" s="62" t="n">
        <x:v>0.8244955961678541</x:v>
      </x:c>
      <x:c r="F108" s="66" t="n">
        <x:v>-10318484.316937735</x:v>
      </x:c>
      <x:c r="G108" s="66" t="n">
        <x:v>-3838145.020540539</x:v>
      </x:c>
      <x:c r="H108" s="66" t="n">
        <x:v>-3506783.2391250883</x:v>
      </x:c>
      <x:c r="I108" s="66" t="n">
        <x:v>1346567.294554907</x:v>
      </x:c>
      <x:c r="J108" s="66" t="n">
        <x:v>1791924.298570672</x:v>
      </x:c>
    </x:row>
    <x:row r="109">
      <x:c r="A109" t="n">
        <x:v>4</x:v>
      </x:c>
      <x:c r="B109" s="58" t="n">
        <x:v>44743</x:v>
      </x:c>
      <x:c r="C109" s="58" t="n">
        <x:v>45078</x:v>
      </x:c>
      <x:c r="D109" s="66" t="n">
        <x:v>69762521.52012132</x:v>
      </x:c>
      <x:c r="E109" s="62" t="n">
        <x:v>0.8429395081145972</x:v>
      </x:c>
      <x:c r="F109" s="66" t="n">
        <x:v>-9488628.265670285</x:v>
      </x:c>
      <x:c r="G109" s="66" t="n">
        <x:v>-4047935.9999999986</x:v>
      </x:c>
      <x:c r="H109" s="66" t="n">
        <x:v>-3488883.72387587</x:v>
      </x:c>
      <x:c r="I109" s="66" t="n">
        <x:v>1287710.083231165</x:v>
      </x:c>
      <x:c r="J109" s="66" t="n">
        <x:v>2739253.6264363118</x:v>
      </x:c>
    </x:row>
    <x:row r="110">
      <x:c r="A110" t="n">
        <x:v>5</x:v>
      </x:c>
      <x:c r="B110" s="58" t="n">
        <x:v>44774</x:v>
      </x:c>
      <x:c r="C110" s="58" t="n">
        <x:v>45108</x:v>
      </x:c>
      <x:c r="D110" s="66" t="n">
        <x:v>72367536.89602843</x:v>
      </x:c>
      <x:c r="E110" s="62" t="n">
        <x:v>0.8744158700887663</x:v>
      </x:c>
      <x:c r="F110" s="66" t="n">
        <x:v>-6884437.126188559</x:v>
      </x:c>
      <x:c r="G110" s="66" t="n">
        <x:v>-3609974.727668844</x:v>
      </x:c>
      <x:c r="H110" s="66" t="n">
        <x:v>-3198797.8273137673</x:v>
      </x:c>
      <x:c r="I110" s="66" t="n">
        <x:v>821617.2401675403</x:v>
      </x:c>
      <x:c r="J110" s="66" t="n">
        <x:v>2478123.5370320743</x:v>
      </x:c>
    </x:row>
    <x:row r="111">
      <x:c r="A111" t="n">
        <x:v>6</x:v>
      </x:c>
      <x:c r="B111" s="58" t="n">
        <x:v>44805</x:v>
      </x:c>
      <x:c r="C111" s="58" t="n">
        <x:v>45139</x:v>
      </x:c>
      <x:c r="D111" s="66" t="n">
        <x:v>75383262.42686178</x:v>
      </x:c>
      <x:c r="E111" s="62" t="n">
        <x:v>0.9108548367456136</x:v>
      </x:c>
      <x:c r="F111" s="66" t="n">
        <x:v>-4681741.403842301</x:v>
      </x:c>
      <x:c r="G111" s="66" t="n">
        <x:v>-2862489.566613163</x:v>
      </x:c>
      <x:c r="H111" s="66" t="n">
        <x:v>-2261174.0994854174</x:v>
      </x:c>
      <x:c r="I111" s="66" t="n">
        <x:v>623782.3040699422</x:v>
      </x:c>
      <x:c r="J111" s="66" t="n">
        <x:v>1803879.3927327022</x:v>
      </x:c>
    </x:row>
    <x:row r="112">
      <x:c r="A112" t="n">
        <x:v>7</x:v>
      </x:c>
      <x:c r="B112" s="58" t="n">
        <x:v>44835</x:v>
      </x:c>
      <x:c r="C112" s="58" t="n">
        <x:v>45170</x:v>
      </x:c>
      <x:c r="D112" s="66" t="n">
        <x:v>74973049.26159167</x:v>
      </x:c>
      <x:c r="E112" s="62" t="n">
        <x:v>0.9058982371815456</x:v>
      </x:c>
      <x:c r="F112" s="66" t="n">
        <x:v>-5449843.086426363</x:v>
      </x:c>
      <x:c r="G112" s="66" t="n">
        <x:v>-2369846.017094018</x:v>
      </x:c>
      <x:c r="H112" s="66" t="n">
        <x:v>-1393525.8793969858</x:v>
      </x:c>
      <x:c r="I112" s="66" t="n">
        <x:v>762716.1372452196</x:v>
      </x:c>
      <x:c r="J112" s="66" t="n">
        <x:v>662542.3072638139</x:v>
      </x:c>
    </x:row>
    <x:row r="113">
      <x:c r="A113" t="n">
        <x:v>8</x:v>
      </x:c>
      <x:c r="B113" s="58" t="n">
        <x:v>44866</x:v>
      </x:c>
      <x:c r="C113" s="58" t="n">
        <x:v>45200</x:v>
      </x:c>
      <x:c r="D113" s="66" t="n">
        <x:v>71548409.96763772</x:v>
      </x:c>
      <x:c r="E113" s="62" t="n">
        <x:v>0.8645183716174426</x:v>
      </x:c>
      <x:c r="F113" s="66" t="n">
        <x:v>-7731749.474085815</x:v>
      </x:c>
      <x:c r="G113" s="66" t="n">
        <x:v>-3022945.134689392</x:v>
      </x:c>
      <x:c r="H113" s="66" t="n">
        <x:v>-2474369.6451406637</x:v>
      </x:c>
      <x:c r="I113" s="66" t="n">
        <x:v>895837.4615193027</x:v>
      </x:c>
      <x:c r="J113" s="66" t="n">
        <x:v>1120630.960034287</x:v>
      </x:c>
    </x:row>
    <x:row r="114">
      <x:c r="A114" t="n">
        <x:v>9</x:v>
      </x:c>
      <x:c r="B114" s="58" t="n">
        <x:v>44896</x:v>
      </x:c>
      <x:c r="C114" s="58" t="n">
        <x:v>45231</x:v>
      </x:c>
      <x:c r="D114" s="66" t="n">
        <x:v>77414997.8766901</x:v>
      </x:c>
      <x:c r="E114" s="62" t="n">
        <x:v>0.9354042659144448</x:v>
      </x:c>
      <x:c r="F114" s="66" t="n">
        <x:v>-3464640.826294233</x:v>
      </x:c>
      <x:c r="G114" s="66" t="n">
        <x:v>-2212716.5866666716</x:v>
      </x:c>
      <x:c r="H114" s="66" t="n">
        <x:v>-1155450.8040809245</x:v>
      </x:c>
      <x:c r="I114" s="66" t="n">
        <x:v>493419.0587724031</x:v>
      </x:c>
      <x:c r="J114" s="66" t="n">
        <x:v>993381.2349595267</x:v>
      </x:c>
    </x:row>
    <x:row r="115">
      <x:c r="A115" t="n">
        <x:v>10</x:v>
      </x:c>
      <x:c r="B115" s="58" t="n">
        <x:v>44927</x:v>
      </x:c>
      <x:c r="C115" s="58" t="n">
        <x:v>45261</x:v>
      </x:c>
      <x:c r="D115" s="66" t="n">
        <x:v>77948315.4324752</x:v>
      </x:c>
      <x:c r="E115" s="62" t="n">
        <x:v>0.9418483339949355</x:v>
      </x:c>
      <x:c r="F115" s="66" t="n">
        <x:v>-2053140.9973148513</x:v>
      </x:c>
      <x:c r="G115" s="66" t="n">
        <x:v>-1670506.7000626214</x:v>
      </x:c>
      <x:c r="H115" s="66" t="n">
        <x:v>-1067385.3194860038</x:v>
      </x:c>
      <x:c r="I115" s="66" t="n">
        <x:v>273475.28033225</x:v>
      </x:c>
      <x:c r="J115" s="66" t="n">
        <x:v>-295132.63099357503</x:v>
      </x:c>
    </x:row>
    <x:row r="116">
      <x:c r="A116" t="n">
        <x:v>11</x:v>
      </x:c>
      <x:c r="B116" s="58" t="n">
        <x:v>44958</x:v>
      </x:c>
      <x:c r="C116" s="58" t="n">
        <x:v>45292</x:v>
      </x:c>
      <x:c r="D116" s="66" t="n">
        <x:v>88166574.94162972</x:v>
      </x:c>
      <x:c r="E116" s="62" t="n">
        <x:v>1.065315411399093</x:v>
      </x:c>
      <x:c r="F116" s="66" t="n">
        <x:v>6494665.184166789</x:v>
      </x:c>
      <x:c r="G116" s="66" t="n">
        <x:v>-117248.62200624822</x:v>
      </x:c>
      <x:c r="H116" s="66" t="n">
        <x:v>-67526.66794111859</x:v>
      </x:c>
      <x:c r="I116" s="66" t="n">
        <x:v>-1017085.7828927359</x:v>
      </x:c>
      <x:c r="J116" s="66" t="n">
        <x:v>112765.0303030308</x:v>
      </x:c>
    </x:row>
    <x:row r="117">
      <x:c r="A117" t="n">
        <x:v>12</x:v>
      </x:c>
      <x:c r="B117" s="58" t="n">
        <x:v>44986</x:v>
      </x:c>
      <x:c r="C117" s="58" t="n">
        <x:v>45323</x:v>
      </x:c>
      <x:c r="D117" s="66" t="n">
        <x:v>94452488.28674786</x:v>
      </x:c>
      <x:c r="E117" s="62" t="n">
        <x:v>1.1412680086924205</x:v>
      </x:c>
      <x:c r="F117" s="66" t="n">
        <x:v>10086458.23474728</x:v>
      </x:c>
      <x:c r="G117" s="66" t="n">
        <x:v>907863.4146341456</x:v>
      </x:c>
      <x:c r="H117" s="66" t="n">
        <x:v>1807925.6589785842</x:v>
      </x:c>
      <x:c r="I117" s="66" t="n">
        <x:v>-1161657.5144320969</x:v>
      </x:c>
      <x:c r="J117" s="66" t="n">
        <x:v>50892.692819952965</x:v>
      </x:c>
    </x:row>
    <x:row r="118">
      <x:c r="A118" t="n">
        <x:v>13</x:v>
      </x:c>
      <x:c r="B118" s="58" t="n">
        <x:v>45017</x:v>
      </x:c>
      <x:c r="C118" s="58" t="n">
        <x:v>45352</x:v>
      </x:c>
      <x:c r="D118" s="66" t="n">
        <x:v>82059975.83543983</x:v>
      </x:c>
      <x:c r="E118" s="62" t="n">
        <x:v>0.9915294653830782</x:v>
      </x:c>
      <x:c r="F118" s="66" t="n">
        <x:v>-703993.5898983802</x:v>
      </x:c>
      <x:c r="G118" s="66" t="n">
        <x:v>36682.48464163416</x:v>
      </x:c>
      <x:c r="H118" s="66" t="n">
        <x:v>509523.1428571455</x:v>
      </x:c>
      <x:c r="I118" s="66" t="n">
        <x:v>76724.97476152168</x:v>
      </x:c>
      <x:c r="J118" s="66" t="n">
        <x:v>-619966.9769220949</x:v>
      </x:c>
    </x:row>
    <x:row r="119">
      <x:c r="A119" t="n">
        <x:v>14</x:v>
      </x:c>
      <x:c r="B119" s="58" t="n">
        <x:v>45047</x:v>
      </x:c>
      <x:c r="C119" s="58" t="n">
        <x:v>45383</x:v>
      </x:c>
      <x:c r="D119" s="66" t="n">
        <x:v>81825957.808567</x:v>
      </x:c>
      <x:c r="E119" s="62" t="n">
        <x:v>0.9887018290510796</x:v>
      </x:c>
      <x:c r="F119" s="66" t="n">
        <x:v>-919235.8488063964</x:v>
      </x:c>
      <x:c r="G119" s="66" t="n">
        <x:v>-122833.92000000202</x:v>
      </x:c>
      <x:c r="H119" s="66" t="n">
        <x:v>-136006.16053632693</x:v>
      </x:c>
      <x:c r="I119" s="66" t="n">
        <x:v>-6166.769084597792</x:v>
      </x:c>
      <x:c r="J119" s="66" t="n">
        <x:v>249194.70699432876</x:v>
      </x:c>
    </x:row>
    <x:row r="120">
      <x:c r="A120" t="n">
        <x:v>15</x:v>
      </x:c>
      <x:c r="B120" s="58" t="n">
        <x:v>45078</x:v>
      </x:c>
      <x:c r="C120" s="58" t="n">
        <x:v>45413</x:v>
      </x:c>
      <x:c r="D120" s="66" t="n">
        <x:v>88357088.08420002</x:v>
      </x:c>
      <x:c r="E120" s="62" t="n">
        <x:v>1.0676173788622567</x:v>
      </x:c>
      <x:c r="F120" s="66" t="n">
        <x:v>5071330.134795858</x:v>
      </x:c>
      <x:c r="G120" s="66" t="n">
        <x:v>614895.3781512585</x:v>
      </x:c>
      <x:c r="H120" s="66" t="n">
        <x:v>1581225.3795251087</x:v>
      </x:c>
      <x:c r="I120" s="66" t="n">
        <x:v>-492337.6357003155</x:v>
      </x:c>
      <x:c r="J120" s="66" t="n">
        <x:v>-1179030.972571886</x:v>
      </x:c>
    </x:row>
    <x:row r="121">
      <x:c r="A121" t="n">
        <x:v>16</x:v>
      </x:c>
      <x:c r="B121" s="58" t="n">
        <x:v>45108</x:v>
      </x:c>
      <x:c r="C121" s="58" t="n">
        <x:v>45444</x:v>
      </x:c>
      <x:c r="D121" s="66" t="n">
        <x:v>95098249.59708552</x:v>
      </x:c>
      <x:c r="E121" s="62" t="n">
        <x:v>1.1490707329838363</x:v>
      </x:c>
      <x:c r="F121" s="66" t="n">
        <x:v>10506829.540955387</x:v>
      </x:c>
      <x:c r="G121" s="66" t="n">
        <x:v>2215500.9509433936</x:v>
      </x:c>
      <x:c r="H121" s="66" t="n">
        <x:v>2346924.3243243243</x:v>
      </x:c>
      <x:c r="I121" s="66" t="n">
        <x:v>-1441005.4071653662</x:v>
      </x:c>
      <x:c r="J121" s="66" t="n">
        <x:v>-1291005.6119722056</x:v>
      </x:c>
    </x:row>
    <x:row r="122">
      <x:c r="A122" t="n">
        <x:v>17</x:v>
      </x:c>
      <x:c r="B122" s="58" t="n">
        <x:v>45139</x:v>
      </x:c>
      <x:c r="C122" s="58" t="n">
        <x:v>45474</x:v>
      </x:c>
      <x:c r="D122" s="66" t="n">
        <x:v>102660567.73143598</x:v>
      </x:c>
      <x:c r="E122" s="62" t="n">
        <x:v>1.2404461103279147</x:v>
      </x:c>
      <x:c r="F122" s="66" t="n">
        <x:v>15670713.326950448</x:v>
      </x:c>
      <x:c r="G122" s="66" t="n">
        <x:v>3357231.1320754676</x:v>
      </x:c>
      <x:c r="H122" s="66" t="n">
        <x:v>3575009.538261435</x:v>
      </x:c>
      <x:c r="I122" s="66" t="n">
        <x:v>-2157356.1464904933</x:v>
      </x:c>
      <x:c r="J122" s="66" t="n">
        <x:v>-546035.9193608788</x:v>
      </x:c>
    </x:row>
    <x:row r="123">
      <x:c r="A123" t="n">
        <x:v>18</x:v>
      </x:c>
      <x:c r="B123" s="58" t="n">
        <x:v>45170</x:v>
      </x:c>
      <x:c r="C123" s="58" t="n">
        <x:v>45505</x:v>
      </x:c>
      <x:c r="D123" s="66" t="n">
        <x:v>96838539.20583497</x:v>
      </x:c>
      <x:c r="E123" s="62" t="n">
        <x:v>1.1700986263972517</x:v>
      </x:c>
      <x:c r="F123" s="66" t="n">
        <x:v>9705513.290267274</x:v>
      </x:c>
      <x:c r="G123" s="66" t="n">
        <x:v>2558095.7047970463</x:v>
      </x:c>
      <x:c r="H123" s="66" t="n">
        <x:v>2766925.5952380965</x:v>
      </x:c>
      <x:c r="I123" s="66" t="n">
        <x:v>-1049888.038791307</x:v>
      </x:c>
      <x:c r="J123" s="66" t="n">
        <x:v>96886.85432385665</x:v>
      </x:c>
    </x:row>
    <x:row r="124">
      <x:c r="A124" t="n">
        <x:v>19</x:v>
      </x:c>
      <x:c r="B124" s="58" t="n">
        <x:v>45200</x:v>
      </x:c>
      <x:c r="C124" s="58" t="n">
        <x:v>45536</x:v>
      </x:c>
      <x:c r="D124" s="66" t="n">
        <x:v>88149389.60290319</x:v>
      </x:c>
      <x:c r="E124" s="62" t="n">
        <x:v>1.0651077612073099</x:v>
      </x:c>
      <x:c r="F124" s="66" t="n">
        <x:v>2938098.1273987666</x:v>
      </x:c>
      <x:c r="G124" s="66" t="n">
        <x:v>899319.7714285683</x:v>
      </x:c>
      <x:c r="H124" s="66" t="n">
        <x:v>920700.0000000028</x:v>
      </x:c>
      <x:c r="I124" s="66" t="n">
        <x:v>-419203.4994666175</x:v>
      </x:c>
      <x:c r="J124" s="66" t="n">
        <x:v>1049469.4035424672</x:v>
      </x:c>
    </x:row>
    <x:row r="125">
      <x:c r="A125" t="n">
        <x:v>20</x:v>
      </x:c>
      <x:c r="B125" s="58" t="n">
        <x:v>45231</x:v>
      </x:c>
      <x:c r="C125" s="58" t="n">
        <x:v>45566</x:v>
      </x:c>
      <x:c r="D125" s="66" t="n">
        <x:v>86122593.65754095</x:v>
      </x:c>
      <x:c r="E125" s="62" t="n">
        <x:v>1.0406180159973473</x:v>
      </x:c>
      <x:c r="F125" s="66" t="n">
        <x:v>1004484.697334901</x:v>
      </x:c>
      <x:c r="G125" s="66" t="n">
        <x:v>935280.4008016037</x:v>
      </x:c>
      <x:c r="H125" s="66" t="n">
        <x:v>606702.0829686709</x:v>
      </x:c>
      <x:c r="I125" s="66" t="n">
        <x:v>-189867.375440604</x:v>
      </x:c>
      <x:c r="J125" s="66" t="n">
        <x:v>1004988.0518763796</x:v>
      </x:c>
    </x:row>
    <x:row r="126">
      <x:c r="A126" t="n">
        <x:v>21</x:v>
      </x:c>
      <x:c r="B126" s="58" t="n">
        <x:v>45261</x:v>
      </x:c>
      <x:c r="C126" s="58" t="n">
        <x:v>45597</x:v>
      </x:c>
      <x:c r="D126" s="66" t="n">
        <x:v>84129068.53007576</x:v>
      </x:c>
      <x:c r="E126" s="62" t="n">
        <x:v>1.0165302815843227</x:v>
      </x:c>
      <x:c r="F126" s="66" t="n">
        <x:v>-553114.1235218197</x:v>
      </x:c>
      <x:c r="G126" s="66" t="n">
        <x:v>1007077.1142284574</x:v>
      </x:c>
      <x:c r="H126" s="66" t="n">
        <x:v>507407.74939592974</x:v>
      </x:c>
      <x:c r="I126" s="66" t="n">
        <x:v>207334.50263295538</x:v>
      </x:c>
      <x:c r="J126" s="66" t="n">
        <x:v>199357.48734024505</x:v>
      </x:c>
    </x:row>
    <x:row r="127">
      <x:c r="A127" t="n">
        <x:v>22</x:v>
      </x:c>
      <x:c r="B127" s="58" t="n">
        <x:v>45292</x:v>
      </x:c>
      <x:c r="C127" s="58" t="n">
        <x:v>45627</x:v>
      </x:c>
      <x:c r="D127" s="66" t="n">
        <x:v>77038046.8641766</x:v>
      </x:c>
      <x:c r="E127" s="62" t="n">
        <x:v>0.930849572446552</x:v>
      </x:c>
      <x:c r="F127" s="66" t="n">
        <x:v>-4638642.60238912</x:v>
      </x:c>
      <x:c r="G127" s="66" t="n">
        <x:v>-375861.48585638846</x:v>
      </x:c>
      <x:c r="H127" s="66" t="n">
        <x:v>-785357.246963561</x:v>
      </x:c>
      <x:c r="I127" s="66" t="n">
        <x:v>571014.1474212131</x:v>
      </x:c>
      <x:c r="J127" s="66" t="n">
        <x:v>-494111.74803555233</x:v>
      </x:c>
    </x:row>
    <x:row r="128">
      <x:c r="A128" t="n">
        <x:v>23</x:v>
      </x:c>
      <x:c r="B128" s="58" t="n">
        <x:v>45323</x:v>
      </x:c>
      <x:c r="C128" s="58" t="n">
        <x:v>45658</x:v>
      </x:c>
      <x:c r="D128" s="66" t="n">
        <x:v>82237534.63918813</x:v>
      </x:c>
      <x:c r="E128" s="62" t="n">
        <x:v>0.9936749057632662</x:v>
      </x:c>
      <x:c r="F128" s="66" t="n">
        <x:v>-381066.9348710987</x:v>
      </x:c>
      <x:c r="G128" s="66" t="n">
        <x:v>93924.84224082762</x:v>
      </x:c>
      <x:c r="H128" s="66" t="n">
        <x:v>-330291.73750424804</x:v>
      </x:c>
      <x:c r="I128" s="66" t="n">
        <x:v>56775.76218335505</x:v>
      </x:c>
      <x:c r="J128" s="66" t="n">
        <x:v>37186.907139291754</x:v>
      </x:c>
    </x:row>
    <x:row r="129">
      <x:c r="A129" t="n">
        <x:v>24</x:v>
      </x:c>
      <x:c r="B129" s="58" t="n">
        <x:v>45352</x:v>
      </x:c>
      <x:c r="C129" s="58" t="n">
        <x:v>45689</x:v>
      </x:c>
      <x:c r="D129" s="66" t="n">
        <x:v>79735563.71565223</x:v>
      </x:c>
      <x:c r="E129" s="62" t="n">
        <x:v>0.9634436283718079</x:v>
      </x:c>
      <x:c r="F129" s="66" t="n">
        <x:v>-2427893.845363603</x:v>
      </x:c>
      <x:c r="G129" s="66" t="n">
        <x:v>-599775</x:v>
      </x:c>
      <x:c r="H129" s="66" t="n">
        <x:v>-748372.8813559292</x:v>
      </x:c>
      <x:c r="I129" s="66" t="n">
        <x:v>412920.9468758209</x:v>
      </x:c>
      <x:c r="J129" s="66" t="n">
        <x:v>337678.6954959281</x:v>
      </x:c>
    </x:row>
    <x:row r="130">
      <x:c r="A130" t="n">
        <x:v>25</x:v>
      </x:c>
      <x:c r="B130" s="58" t="n">
        <x:v>45383</x:v>
      </x:c>
      <x:c r="C130" s="58" t="n">
        <x:v>45717</x:v>
      </x:c>
      <x:c r="D130" s="66" t="n">
        <x:v>74307001.59913522</x:v>
      </x:c>
      <x:c r="E130" s="62" t="n">
        <x:v>0.897850393199731</x:v>
      </x:c>
      <x:c r="F130" s="66" t="n">
        <x:v>-7128494.425423887</x:v>
      </x:c>
      <x:c r="G130" s="66" t="n">
        <x:v>-1221359.9999999988</x:v>
      </x:c>
      <x:c r="H130" s="66" t="n">
        <x:v>-1602362.9032258056</x:v>
      </x:c>
      <x:c r="I130" s="66" t="n">
        <x:v>868020.5859279839</x:v>
      </x:c>
      <x:c r="J130" s="66" t="n">
        <x:v>630192.5418569237</x:v>
      </x:c>
    </x:row>
    <x:row r="131">
      <x:c r="A131" t="n">
        <x:v>26</x:v>
      </x:c>
      <x:c r="B131" s="58" t="n">
        <x:v>45413</x:v>
      </x:c>
      <x:c r="C131" s="58" t="n">
        <x:v>45748</x:v>
      </x:c>
      <x:c r="D131" s="66" t="n">
        <x:v>77013588.04719171</x:v>
      </x:c>
      <x:c r="E131" s="62" t="n">
        <x:v>0.9305540369253428</x:v>
      </x:c>
      <x:c r="F131" s="66" t="n">
        <x:v>-4649429.149166895</x:v>
      </x:c>
      <x:c r="G131" s="66" t="n">
        <x:v>-1548219.199999998</x:v>
      </x:c>
      <x:c r="H131" s="66" t="n">
        <x:v>-1628631.1475409819</x:v>
      </x:c>
      <x:c r="I131" s="66" t="n">
        <x:v>618271.2947112208</x:v>
      </x:c>
      <x:c r="J131" s="66" t="n">
        <x:v>1460590.4491883472</x:v>
      </x:c>
    </x:row>
    <x:row r="132">
      <x:c r="A132" t="n">
        <x:v>27</x:v>
      </x:c>
      <x:c r="B132" s="58" t="n">
        <x:v>45444</x:v>
      </x:c>
      <x:c r="C132" s="58" t="n">
        <x:v>45778</x:v>
      </x:c>
      <x:c r="D132" s="66" t="n">
        <x:v>72787346.9205745</x:v>
      </x:c>
      <x:c r="E132" s="62" t="n">
        <x:v>0.8794884283604792</x:v>
      </x:c>
      <x:c r="F132" s="66" t="n">
        <x:v>-7501697.050684045</x:v>
      </x:c>
      <x:c r="G132" s="66" t="n">
        <x:v>-1802959.9999999977</x:v>
      </x:c>
      <x:c r="H132" s="66" t="n">
        <x:v>-2318084.999999999</x:v>
      </x:c>
      <x:c r="I132" s="66" t="n">
        <x:v>975192.5902187874</x:v>
      </x:c>
      <x:c r="J132" s="66" t="n">
        <x:v>673890.581039756</x:v>
      </x:c>
    </x:row>
    <x:row r="133">
      <x:c r="A133" t="n">
        <x:v>28</x:v>
      </x:c>
      <x:c r="B133" s="58" t="n">
        <x:v>45474</x:v>
      </x:c>
      <x:c r="C133" s="58" t="n">
        <x:v>45809</x:v>
      </x:c>
      <x:c r="D133" s="66" t="n">
        <x:v>74141043.96521904</x:v>
      </x:c>
      <x:c r="E133" s="62" t="n">
        <x:v>0.8958451295817751</x:v>
      </x:c>
      <x:c r="F133" s="66" t="n">
        <x:v>-6772941.883254753</x:v>
      </x:c>
      <x:c r="G133" s="66" t="n">
        <x:v>-1473647.174999999</x:v>
      </x:c>
      <x:c r="H133" s="66" t="n">
        <x:v>-2085050</x:v>
      </x:c>
      <x:c r="I133" s="66" t="n">
        <x:v>868517.2234737778</x:v>
      </x:c>
      <x:c r="J133" s="66" t="n">
        <x:v>843160.0000000007</x:v>
      </x:c>
    </x:row>
    <x:row r="134">
      <x:c r="A134" t="n">
        <x:v>29</x:v>
      </x:c>
      <x:c r="B134" s="58" t="n">
        <x:v>45505</x:v>
      </x:c>
      <x:c r="C134" s="58" t="n">
        <x:v>45839</x:v>
      </x:c>
      <x:c r="D134" s="66" t="n">
        <x:v>75537115.59835166</x:v>
      </x:c>
      <x:c r="E134" s="62" t="n">
        <x:v>0.9127138423244207</x:v>
      </x:c>
      <x:c r="F134" s="66" t="n">
        <x:v>-5032229.084009343</x:v>
      </x:c>
      <x:c r="G134" s="66" t="n">
        <x:v>-1836511.0499999989</x:v>
      </x:c>
      <x:c r="H134" s="66" t="n">
        <x:v>-2379410</x:v>
      </x:c>
      <x:c r="I134" s="66" t="n">
        <x:v>636856.9670057418</x:v>
      </x:c>
      <x:c r="J134" s="66" t="n">
        <x:v>1387402.9653552566</x:v>
      </x:c>
    </x:row>
    <x:row r="135">
      <x:c r="A135" t="n">
        <x:v>30</x:v>
      </x:c>
      <x:c r="B135" s="58" t="n">
        <x:v>45536</x:v>
      </x:c>
      <x:c r="C135" s="58" t="n">
        <x:v>45870</x:v>
      </x:c>
      <x:c r="D135" s="66" t="n">
        <x:v>76047071.60227843</x:v>
      </x:c>
      <x:c r="E135" s="62" t="n">
        <x:v>0.9188756331218781</x:v>
      </x:c>
      <x:c r="F135" s="66" t="n">
        <x:v>-4147112.266094081</x:v>
      </x:c>
      <x:c r="G135" s="66" t="n">
        <x:v>-1495181.0322580615</x:v>
      </x:c>
      <x:c r="H135" s="66" t="n">
        <x:v>-2505801.864406779</x:v>
      </x:c>
      <x:c r="I135" s="66" t="n">
        <x:v>484259.67708315444</x:v>
      </x:c>
      <x:c r="J135" s="66" t="n">
        <x:v>949901.2879542075</x:v>
      </x:c>
    </x:row>
    <x:row r="136">
      <x:c r="A136" t="n">
        <x:v>31</x:v>
      </x:c>
      <x:c r="B136" s="58" t="n">
        <x:v>45566</x:v>
      </x:c>
      <x:c r="C136" s="58" t="n">
        <x:v>45901</x:v>
      </x:c>
      <x:c r="D136" s="66" t="n">
        <x:v>77793253.80526698</x:v>
      </x:c>
      <x:c r="E136" s="62" t="n">
        <x:v>0.939974726663689</x:v>
      </x:c>
      <x:c r="F136" s="66" t="n">
        <x:v>-2663458.204510776</x:v>
      </x:c>
      <x:c r="G136" s="66" t="n">
        <x:v>-1136213.759999999</x:v>
      </x:c>
      <x:c r="H136" s="66" t="n">
        <x:v>-1724765.6249999995</x:v>
      </x:c>
      <x:c r="I136" s="66" t="n">
        <x:v>345153.8803762418</x:v>
      </x:c>
      <x:c r="J136" s="66" t="n">
        <x:v>211531.71440151404</x:v>
      </x:c>
    </x:row>
    <x:row r="137">
      <x:c r="A137" t="n">
        <x:v>32</x:v>
      </x:c>
      <x:c r="B137" s="58" t="n">
        <x:v>45597</x:v>
      </x:c>
      <x:c r="C137" s="58" t="n">
        <x:v>45931</x:v>
      </x:c>
      <x:c r="D137" s="66" t="n">
        <x:v>79927141.82735848</x:v>
      </x:c>
      <x:c r="E137" s="62" t="n">
        <x:v>0.9657584638411739</x:v>
      </x:c>
      <x:c r="F137" s="66" t="n">
        <x:v>-1172223.4399991059</x:v>
      </x:c>
      <x:c r="G137" s="66" t="n">
        <x:v>-1035771.439999999</x:v>
      </x:c>
      <x:c r="H137" s="66" t="n">
        <x:v>-1336203.6111111115</x:v>
      </x:c>
      <x:c r="I137" s="66" t="n">
        <x:v>115255.77987291565</x:v>
      </x:c>
      <x:c r="J137" s="66" t="n">
        <x:v>595078.7385957956</x:v>
      </x:c>
    </x:row>
    <x:row r="138">
      <x:c r="A138" t="n">
        <x:v>33</x:v>
      </x:c>
      <x:c r="B138" s="58" t="n">
        <x:v>45627</x:v>
      </x:c>
      <x:c r="C138" s="58" t="n">
        <x:v>45962</x:v>
      </x:c>
      <x:c r="D138" s="66" t="n">
        <x:v>85191634.73561676</x:v>
      </x:c>
      <x:c r="E138" s="62" t="n">
        <x:v>1.0293692532143774</x:v>
      </x:c>
      <x:c r="F138" s="66" t="n">
        <x:v>3265348.3694732157</x:v>
      </x:c>
      <x:c r="G138" s="66" t="n">
        <x:v>-616155.062068966</x:v>
      </x:c>
      <x:c r="H138" s="66" t="n">
        <x:v>-224449.49999999953</x:v>
      </x:c>
      <x:c r="I138" s="66" t="n">
        <x:v>-487271.8993597889</x:v>
      </x:c>
      <x:c r="J138" s="66" t="n">
        <x:v>493157.0275722943</x:v>
      </x:c>
    </x:row>
    <x:row r="139">
      <x:c r="A139" t="n">
        <x:v>34</x:v>
      </x:c>
      <x:c r="B139" s="58" t="n">
        <x:v>45658</x:v>
      </x:c>
      <x:c r="C139" s="58" t="n">
        <x:v>45992</x:v>
      </x:c>
      <x:c r="D139" s="66" t="n">
        <x:v>93372306.0547464</x:v>
      </x:c>
      <x:c r="E139" s="62" t="n">
        <x:v>1.1282161828771105</x:v>
      </x:c>
      <x:c r="F139" s="66" t="n">
        <x:v>10177661.400516378</x:v>
      </x:c>
      <x:c r="G139" s="66" t="n">
        <x:v>-161767.8857142853</x:v>
      </x:c>
      <x:c r="H139" s="66" t="n">
        <x:v>1323820.1086956523</x:v>
      </x:c>
      <x:c r="I139" s="66" t="n">
        <x:v>-1307830.1031136424</x:v>
      </x:c>
      <x:c r="J139" s="66" t="n">
        <x:v>579416.7343623071</x:v>
      </x:c>
    </x:row>
  </x:sheetData>
  <x:mergeCells>
    <x:mergeCell ref="A1:J1"/>
    <x:mergeCell ref="B9:J9"/>
    <x:mergeCell ref="B10:J10"/>
    <x:mergeCell ref="A13:J13"/>
    <x:mergeCell ref="A60:J60"/>
    <x:mergeCell ref="A104:J104"/>
  </x:mergeCells>
  <x:conditionalFormatting sqref="E15:E57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E62:E101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E106:E139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4" max="4" width="30" hidden="0" customWidth="1"/>
    <x:col min="5" max="5" width="22" hidden="0" customWidth="1"/>
    <x:col min="6" max="6" width="40" hidden="0" customWidth="1"/>
    <x:col min="7" max="7" width="18" hidden="0" customWidth="1"/>
    <x:col min="3" max="3" width="5" hidden="0" customWidth="1"/>
    <x:col min="8" max="8" width="12" hidden="0" customWidth="1"/>
  </x:cols>
  <x:sheetData>
    <x:row r="1" ht="28" customHeight="1">
      <x:c r="A1" s="118" t="str">
        <x:v>Need 진단 — 미래가격을 모르는 상태에서 최소 얼마를 보호해야 하는가</x:v>
      </x:c>
      <x:c r="B1" s="118"/>
      <x:c r="C1" s="118"/>
      <x:c r="D1" s="118"/>
      <x:c r="E1" s="118"/>
      <x:c r="F1" s="118"/>
      <x:c r="G1" s="118"/>
      <x:c r="H1" s="94"/>
    </x:row>
    <x:row r="3">
      <x:c r="A3" s="119" t="str">
        <x:v>경영진 입력</x:v>
      </x:c>
      <x:c r="B3" s="119" t="str">
        <x:v>선택값</x:v>
      </x:c>
      <x:c r="D3" s="119" t="str">
        <x:v>진단결과</x:v>
      </x:c>
      <x:c r="E3" s="119" t="str">
        <x:v>값</x:v>
      </x:c>
      <x:c r="F3" s="119" t="str">
        <x:v>의미</x:v>
      </x:c>
      <x:c r="G3" s="119" t="str">
        <x:v>판단</x:v>
      </x:c>
      <x:c r="H3" s="99" t="str"/>
    </x:row>
    <x:row r="4">
      <x:c r="A4" t="str">
        <x:v>분석기간</x:v>
      </x:c>
      <x:c r="B4" s="24" t="n">
        <x:f>'07_경영진입력'!B6</x:f>
        <x:v>6</x:v>
      </x:c>
      <x:c r="D4" t="str">
        <x:v>신규계약 추가 후 기준 공헌이익 (100%)</x:v>
      </x:c>
      <x:c r="E4" s="120" t="n">
        <x:f>'08_신규계약전후'!D4</x:f>
        <x:v>42764782.9</x:v>
      </x:c>
      <x:c r="F4" t="str">
        <x:v>현재가격 기준</x:v>
      </x:c>
      <x:c r="G4" t="str"/>
      <x:c r="H4"/>
    </x:row>
    <x:row r="5">
      <x:c r="A5" t="str">
        <x:v>최소 공헌이익 유지율</x:v>
      </x:c>
      <x:c r="B5" s="70" t="n">
        <x:f>'07_경영진입력'!B7</x:f>
        <x:v>0.95</x:v>
      </x:c>
      <x:c r="D5" t="str">
        <x:v>선택 Downside 공헌이익</x:v>
      </x:c>
      <x:c r="E5" s="120" t="n">
        <x:f>'08_신규계약전후'!E4</x:f>
        <x:v>38724599.612374276</x:v>
      </x:c>
      <x:c r="F5" t="str">
        <x:v>과거 동일 길이 경로에서 선택 위험수준</x:v>
      </x:c>
      <x:c r="G5" t="str"/>
      <x:c r="H5"/>
    </x:row>
    <x:row r="6">
      <x:c r="A6" t="str">
        <x:v>위험허용수준</x:v>
      </x:c>
      <x:c r="B6" s="70" t="str">
        <x:f>'07_경영진입력'!B8</x:f>
        <x:v>보수적(P10)</x:v>
      </x:c>
      <x:c r="D6" t="str">
        <x:v>공헌이익 유지율</x:v>
      </x:c>
      <x:c r="E6" s="121" t="n">
        <x:f>IF(E4=0,0,E5/E4)</x:f>
        <x:v>0.9055254577797536</x:v>
      </x:c>
      <x:c r="F6" t="str">
        <x:v>기준 공헌이익(100%) 대비 잔존 수준</x:v>
      </x:c>
      <x:c r="G6" t="str"/>
      <x:c r="H6"/>
    </x:row>
    <x:row r="7">
      <x:c r="A7"/>
      <x:c r="B7" s="72"/>
      <x:c r="D7" t="str">
        <x:v>경영진 최소 목표 공헌이익</x:v>
      </x:c>
      <x:c r="E7" s="120" t="n">
        <x:f>E4*'07_경영진입력'!B7</x:f>
        <x:v>40626543.754999995</x:v>
      </x:c>
      <x:c r="F7" t="str">
        <x:v>기준 공헌이익 × 목표 유지율</x:v>
      </x:c>
      <x:c r="G7" t="str"/>
      <x:c r="H7"/>
    </x:row>
    <x:row r="8">
      <x:c r="D8" t="str">
        <x:v>목표 대비 부족액</x:v>
      </x:c>
      <x:c r="E8" s="120" t="n">
        <x:f>MAX(0,E7-E5)</x:f>
        <x:v>1901944.1426257193</x:v>
      </x:c>
      <x:c r="F8" t="str">
        <x:v>Downside에서 추가로 보호해야 할 금액</x:v>
      </x:c>
      <x:c r="G8" t="str"/>
      <x:c r="H8"/>
    </x:row>
    <x:row r="9">
      <x:c r="D9" t="str">
        <x:v>최소 필요 경제적 보호수준</x:v>
      </x:c>
      <x:c r="E9" s="122" t="n">
        <x:f>IF(E4=E5,0,MIN(1,MAX(0,E8/(E4-E5))))</x:f>
        <x:v>0.4707568957207946</x:v>
      </x:c>
      <x:c r="F9" t="str">
        <x:v>실제 FFA 계약비율 아님</x:v>
      </x:c>
      <x:c r="G9" t="str"/>
      <x:c r="H9"/>
    </x:row>
    <x:row r="10">
      <x:c r="D10" t="str">
        <x:v>판단</x:v>
      </x:c>
      <x:c r="E10" s="120" t="str">
        <x:f>IF('07_경영진입력'!B7&gt;100%,"헤지만으로 달성 불가",IF(E9=0,"추가 보호 불필요","경제적 보호 필요"))</x:f>
        <x:v>경제적 보호 필요</x:v>
      </x:c>
      <x:c r="F10" t="str"/>
      <x:c r="G10" t="str"/>
      <x:c r="H10"/>
    </x:row>
    <x:row r="12">
      <x:c r="A12" s="42"/>
      <x:c r="B12" s="42"/>
      <x:c r="C12" s="42"/>
      <x:c r="D12" s="42"/>
      <x:c r="E12" s="42"/>
      <x:c r="F12" s="42"/>
      <x:c r="G12" s="42"/>
    </x:row>
    <x:row r="13">
      <x:c r="A13" s="105" t="str">
        <x:v>핵심 해석</x:v>
      </x:c>
      <x:c r="B13" s="124"/>
      <x:c r="C13" s="124"/>
      <x:c r="D13" s="124"/>
      <x:c r="E13" s="124"/>
      <x:c r="F13" s="124"/>
      <x:c r="G13" s="124"/>
      <x:c r="H13" s="105"/>
    </x:row>
    <x:row r="14">
      <x:c r="A14" s="68" t="str">
        <x:v>1</x:v>
      </x:c>
      <x:c r="B14" s="68" t="str">
        <x:v>미래 운임·연료가격을 예측하지 않습니다. 현재가격을 출발점으로 과거 실제 공동 시장경로를 적용합니다.</x:v>
      </x:c>
      <x:c r="C14" s="68"/>
      <x:c r="D14" s="68"/>
      <x:c r="E14" s="68"/>
      <x:c r="F14" s="68"/>
      <x:c r="G14" s="68"/>
      <x:c r="H14" s="68"/>
    </x:row>
    <x:row r="15">
      <x:c r="A15" s="68" t="str">
        <x:v>2</x:v>
      </x:c>
      <x:c r="B15" s="68" t="str">
        <x:v>신규 계약을 추가하기 전과 후의 Downside를 비교해 새 계약이 회사 전체 위험을 얼마나 늘리는지 확인합니다.</x:v>
      </x:c>
      <x:c r="C15" s="68"/>
      <x:c r="D15" s="68"/>
      <x:c r="E15" s="68"/>
      <x:c r="F15" s="68"/>
      <x:c r="G15" s="68"/>
      <x:c r="H15" s="68"/>
    </x:row>
    <x:row r="16">
      <x:c r="A16" s="68" t="str">
        <x:v>3</x:v>
      </x:c>
      <x:c r="B16" s="68" t="str">
        <x:v>최소 필요 보호수준은 선택한 Downside에서도 경영진이 요구하는 최소 공헌이익을 지키기 위해 경제적으로 상쇄해야 하는 시장위험 비율입니다.</x:v>
      </x:c>
      <x:c r="C16" s="68"/>
      <x:c r="D16" s="68"/>
      <x:c r="E16" s="68"/>
      <x:c r="F16" s="68"/>
      <x:c r="G16" s="68"/>
      <x:c r="H16" s="68"/>
    </x:row>
    <x:row r="17">
      <x:c r="A17" s="125" t="str">
        <x:v>4</x:v>
      </x:c>
      <x:c r="B17" s="125" t="str">
        <x:v>실제 FFA 헤지비율·월물·계약수량은 실제 파생상품 데이터 연결 후 산정합니다.</x:v>
      </x:c>
      <x:c r="C17" s="125"/>
      <x:c r="D17" s="125"/>
      <x:c r="E17" s="125"/>
      <x:c r="F17" s="125"/>
      <x:c r="G17" s="125"/>
      <x:c r="H17" s="68"/>
    </x:row>
    <x:row r="18">
      <x:c r="A18" s="15" t="str">
        <x:v>※ 기준 공헌이익(100%) = 현재 시장가격 기준 Base Case. 공헌이익 유지율 = Downside 공헌이익 ÷ 기준 공헌이익.</x:v>
      </x:c>
      <x:c r="B18" s="15"/>
      <x:c r="C18" s="15"/>
      <x:c r="D18" s="15"/>
      <x:c r="E18" s="15"/>
      <x:c r="F18" s="15"/>
      <x:c r="G18" s="15"/>
    </x:row>
    <x:row r="19">
      <x:c r="A19" s="62"/>
      <x:c r="B19" s="66"/>
      <x:c r="C19" s="62"/>
      <x:c r="D19" s="66"/>
      <x:c r="E19" s="66"/>
      <x:c r="F19" s="62"/>
      <x:c r="G19"/>
    </x:row>
    <x:row r="20">
      <x:c r="A20" s="128" t="str">
        <x:v>보호수준</x:v>
      </x:c>
      <x:c r="B20" s="129" t="str">
        <x:v>Downside 공헌이익</x:v>
      </x:c>
      <x:c r="C20" s="128" t="str">
        <x:v>공헌이익 유지율</x:v>
      </x:c>
      <x:c r="D20" s="129" t="str">
        <x:v>목표 대비</x:v>
      </x:c>
      <x:c r="E20" s="129" t="str">
        <x:v>해석</x:v>
      </x:c>
      <x:c r="F20" s="128" t="str"/>
      <x:c r="G20"/>
    </x:row>
    <x:row r="21">
      <x:c r="A21" s="62" t="n">
        <x:v>0</x:v>
      </x:c>
      <x:c r="B21" s="66" t="n">
        <x:f>$E$5+A21*($E$4-$E$5)</x:f>
        <x:v>38724599.612374276</x:v>
      </x:c>
      <x:c r="C21" s="62" t="n">
        <x:f>IF($E$4=0,0,B21/$E$4)</x:f>
        <x:v>0.9055254577797536</x:v>
      </x:c>
      <x:c r="D21" s="66" t="n">
        <x:f>B21-$E$7</x:f>
        <x:v>-1901944.1426257193</x:v>
      </x:c>
      <x:c r="E21" s="66" t="str">
        <x:v>무보호</x:v>
      </x:c>
      <x:c r="F21" s="62"/>
      <x:c r="G21"/>
    </x:row>
    <x:row r="22">
      <x:c r="A22" s="62" t="n">
        <x:v>0.3</x:v>
      </x:c>
      <x:c r="B22" s="66" t="n">
        <x:f>$E$5+A22*($E$4-$E$5)</x:f>
        <x:v>39936654.59866199</x:v>
      </x:c>
      <x:c r="C22" s="62" t="n">
        <x:f>IF($E$4=0,0,B22/$E$4)</x:f>
        <x:v>0.9338678204458274</x:v>
      </x:c>
      <x:c r="D22" s="66" t="n">
        <x:f>B22-$E$7</x:f>
        <x:v>-689889.1563380063</x:v>
      </x:c>
      <x:c r="E22" s="66" t="str">
        <x:v>부분보호</x:v>
      </x:c>
      <x:c r="F22" s="62"/>
      <x:c r="G22"/>
    </x:row>
    <x:row r="23">
      <x:c r="A23" s="62" t="n">
        <x:v>0.5</x:v>
      </x:c>
      <x:c r="B23" s="66" t="n">
        <x:f>$E$5+A23*($E$4-$E$5)</x:f>
        <x:v>40744691.25618714</x:v>
      </x:c>
      <x:c r="C23" s="62" t="n">
        <x:f>IF($E$4=0,0,B23/$E$4)</x:f>
        <x:v>0.9527627288898769</x:v>
      </x:c>
      <x:c r="D23" s="66" t="n">
        <x:f>B23-$E$7</x:f>
        <x:v>118147.50118714571</x:v>
      </x:c>
      <x:c r="E23" s="66" t="str">
        <x:v>균형 비교</x:v>
      </x:c>
      <x:c r="F23" s="62"/>
      <x:c r="G23"/>
    </x:row>
    <x:row r="24">
      <x:c r="A24" s="62" t="n">
        <x:v>0.7</x:v>
      </x:c>
      <x:c r="B24" s="66" t="n">
        <x:f>$E$5+A24*($E$4-$E$5)</x:f>
        <x:v>41552727.91371228</x:v>
      </x:c>
      <x:c r="C24" s="62" t="n">
        <x:f>IF($E$4=0,0,B24/$E$4)</x:f>
        <x:v>0.971657637333926</x:v>
      </x:c>
      <x:c r="D24" s="66" t="n">
        <x:f>B24-$E$7</x:f>
        <x:v>926184.1587122828</x:v>
      </x:c>
      <x:c r="E24" t="str">
        <x:v>안정성 우선</x:v>
      </x:c>
      <x:c r="F24"/>
    </x:row>
  </x:sheetData>
  <x:mergeCells>
    <x:mergeCell ref="A1:G1"/>
    <x:mergeCell ref="B13:G13"/>
    <x:mergeCell ref="B14:G14"/>
    <x:mergeCell ref="A17:G17"/>
    <x:mergeCell ref="A1:H1"/>
    <x:mergeCell ref="A13:H13"/>
    <x:mergeCell ref="B14:H14"/>
    <x:mergeCell ref="B15:H15"/>
    <x:mergeCell ref="B16:H16"/>
    <x:mergeCell ref="B17:H17"/>
    <x:mergeCell ref="A18:G18"/>
  </x:mergeCells>
  <x:conditionalFormatting sqref="D19:D23">
    <x:cfRule type="expression" dxfId="2" priority="1">
      <x:formula>D19&lt;0</x:formula>
    </x:cfRule>
    <x:cfRule type="expression" dxfId="3" priority="2">
      <x:formula>D19&gt;=0</x:formula>
    </x:cfRule>
  </x:conditionalFormatting>
  <x:conditionalFormatting sqref="E9:E9">
    <x:cfRule type="colorScale" priority="3">
      <x:colorScale>
        <x:cfvo type="min"/>
        <x:cfvo type="percentile" val="50"/>
        <x:cfvo type="max"/>
        <x:color rgb="FFE2F0D9"/>
        <x:color rgb="FFFFF2CC"/>
        <x:color rgb="FFF4CCCC"/>
      </x:colorScale>
    </x:cfRule>
  </x:conditionalFormatting>
  <x:pageMargins left="0.7" right="0.7" top="0.75" bottom="0.75" header="0.3" footer="0.3"/>
  <x:drawing xmlns:r="http://schemas.openxmlformats.org/officeDocument/2006/relationships" r:id="Reb8b0e06eae94122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2" hidden="0" customWidth="1"/>
    <x:col min="5" max="5" width="42" hidden="0" customWidth="1"/>
    <x:col min="6" max="6" width="22" hidden="0" customWidth="1"/>
  </x:cols>
  <x:sheetData>
    <x:row r="1" ht="28" customHeight="1">
      <x:c r="A1" s="118" t="str">
        <x:v>보호 우선순위 — 선택한 Downside에서 어떤 위험이 마진을 훼손하는가</x:v>
      </x:c>
      <x:c r="B1" s="118"/>
      <x:c r="C1" s="118"/>
      <x:c r="D1" s="118"/>
      <x:c r="E1" s="118"/>
      <x:c r="F1" s="118"/>
      <x:c r="G1" s="94"/>
    </x:row>
    <x:row r="3">
      <x:c r="A3" s="119" t="str">
        <x:v>위험요인</x:v>
      </x:c>
      <x:c r="B3" s="119" t="str">
        <x:v>선택경로 영향</x:v>
      </x:c>
      <x:c r="C3" s="119" t="str">
        <x:v>보호검토 손실</x:v>
      </x:c>
      <x:c r="D3" s="119" t="str">
        <x:v>우선순위</x:v>
      </x:c>
      <x:c r="E3" s="119" t="str">
        <x:v>해석</x:v>
      </x:c>
      <x:c r="F3" s="119" t="str">
        <x:v>MVP 판단</x:v>
      </x:c>
    </x:row>
    <x:row r="4">
      <x:c r="A4" t="str">
        <x:v>A Index-linked TC-out</x:v>
      </x:c>
      <x:c r="B4" s="72" t="n">
        <x:f>SUMIFS('08_신규계약전후'!$L$15:$L$23,'08_신규계약전후'!$A$15:$A$23,'07_경영진입력'!$B$6,'08_신규계약전후'!$B$15:$B$23,'07_경영진입력'!$B$8)</x:f>
        <x:v>-2755464.096315192</x:v>
      </x:c>
      <x:c r="C4" s="72" t="n">
        <x:f>MAX(0,-B4)</x:f>
        <x:v>2755464.096315192</x:v>
      </x:c>
      <x:c r="D4" s="72" t="n">
        <x:f>IF(C4=0,"-",RANK.EQ(C4,$C$4:$C$8,0))</x:f>
        <x:v>1</x:v>
      </x:c>
      <x:c r="E4" s="66" t="str">
        <x:v>운임 하락 시 신규계약 수익 감소</x:v>
      </x:c>
      <x:c r="F4" t="str">
        <x:f>IF(B4&gt;0,"자연상계/우호요인",IF(C4=MAX($C$4:$C$8),"최우선 보호검토","보호검토"))</x:f>
        <x:v>최우선 보호검토</x:v>
      </x:c>
    </x:row>
    <x:row r="5">
      <x:c r="A5" t="str">
        <x:v>C1 PNW Voyage</x:v>
      </x:c>
      <x:c r="B5" s="72" t="n">
        <x:f>SUMIFS('08_신규계약전후'!$M$15:$M$23,'08_신규계약전후'!$A$15:$A$23,'07_경영진입력'!$B$6,'08_신규계약전후'!$B$15:$B$23,'07_경영진입력'!$B$8)</x:f>
        <x:v>-679425.1199999994</x:v>
      </x:c>
      <x:c r="C5" s="72" t="n">
        <x:f>MAX(0,-B5)</x:f>
        <x:v>679425.1199999994</x:v>
      </x:c>
      <x:c r="D5" s="72" t="n">
        <x:f>IF(C5=0,"-",RANK.EQ(C5,$C$4:$C$8,0))</x:f>
        <x:v>3</x:v>
      </x:c>
      <x:c r="E5" s="66" t="str">
        <x:v>PNW 운임 하락 시 수익 감소</x:v>
      </x:c>
      <x:c r="F5" t="str">
        <x:f>IF(B5&gt;0,"자연상계/우호요인",IF(C5=MAX($C$4:$C$8),"최우선 보호검토","보호검토"))</x:f>
        <x:v>보호검토</x:v>
      </x:c>
    </x:row>
    <x:row r="6">
      <x:c r="A6" t="str">
        <x:v>C2 USG Voyage</x:v>
      </x:c>
      <x:c r="B6" s="72" t="n">
        <x:f>SUMIFS('08_신규계약전후'!$N$15:$N$23,'08_신규계약전후'!$A$15:$A$23,'07_경영진입력'!$B$6,'08_신규계약전후'!$B$15:$B$23,'07_경영진입력'!$B$8)</x:f>
        <x:v>-788464.2857142854</x:v>
      </x:c>
      <x:c r="C6" s="72" t="n">
        <x:f>MAX(0,-B6)</x:f>
        <x:v>788464.2857142854</x:v>
      </x:c>
      <x:c r="D6" s="72" t="n">
        <x:f>IF(C6=0,"-",RANK.EQ(C6,$C$4:$C$8,0))</x:f>
        <x:v>2</x:v>
      </x:c>
      <x:c r="E6" s="66" t="str">
        <x:v>USG 운임 하락 시 수익 감소</x:v>
      </x:c>
      <x:c r="F6" t="str">
        <x:f>IF(B6&gt;0,"자연상계/우호요인",IF(C6=MAX($C$4:$C$8),"최우선 보호검토","보호검토"))</x:f>
        <x:v>보호검토</x:v>
      </x:c>
    </x:row>
    <x:row r="7">
      <x:c r="A7" t="str">
        <x:v>D future TC-in</x:v>
      </x:c>
      <x:c r="B7" s="72" t="n">
        <x:f>SUMIFS('08_신규계약전후'!$O$15:$O$23,'08_신규계약전후'!$A$15:$A$23,'07_경영진입력'!$B$6,'08_신규계약전후'!$B$15:$B$23,'07_경영진입력'!$B$8)</x:f>
        <x:v>338607.1571219419</x:v>
      </x:c>
      <x:c r="C7" s="72" t="n">
        <x:f>MAX(0,-B7)</x:f>
        <x:v>0</x:v>
      </x:c>
      <x:c r="D7" s="72" t="str">
        <x:f>IF(C7=0,"-",RANK.EQ(C7,$C$4:$C$8,0))</x:f>
        <x:v>-</x:v>
      </x:c>
      <x:c r="E7" s="66" t="str">
        <x:v>Panamax 하락 시 비용 절감 가능 → 자연상계</x:v>
      </x:c>
      <x:c r="F7" t="str">
        <x:f>IF(B7&gt;0,"자연상계/우호요인",IF(C7=MAX($C$4:$C$8),"최우선 보호검토","보호검토"))</x:f>
        <x:v>자연상계/우호요인</x:v>
      </x:c>
    </x:row>
    <x:row r="8">
      <x:c r="A8" t="str">
        <x:v>Fuel purchase</x:v>
      </x:c>
      <x:c r="B8" s="72" t="n">
        <x:f>SUMIFS('08_신규계약전후'!$P$15:$P$23,'08_신규계약전후'!$A$15:$A$23,'07_경영진입력'!$B$6,'08_신규계약전후'!$B$15:$B$23,'07_경영진입력'!$B$8)</x:f>
        <x:v>-155436.94271818397</x:v>
      </x:c>
      <x:c r="C8" s="72" t="n">
        <x:f>MAX(0,-B8)</x:f>
        <x:v>155436.94271818397</x:v>
      </x:c>
      <x:c r="D8" s="72" t="n">
        <x:f>IF(C8=0,"-",RANK.EQ(C8,$C$4:$C$8,0))</x:f>
        <x:v>4</x:v>
      </x:c>
      <x:c r="E8" s="66" t="str">
        <x:v>연료가격 상승 시 비용 증가</x:v>
      </x:c>
      <x:c r="F8" t="str">
        <x:f>IF(B8&gt;0,"자연상계/우호요인",IF(C8=MAX($C$4:$C$8),"최우선 보호검토","보호검토"))</x:f>
        <x:v>보호검토</x:v>
      </x:c>
    </x:row>
    <x:row r="10">
      <x:c r="A10" s="42"/>
      <x:c r="B10" s="42"/>
      <x:c r="C10" s="42"/>
      <x:c r="D10" s="42"/>
      <x:c r="E10" s="42"/>
      <x:c r="F10" s="42"/>
    </x:row>
    <x:row r="11">
      <x:c r="A11" s="124" t="str">
        <x:v>읽는 법</x:v>
      </x:c>
      <x:c r="B11" s="124"/>
      <x:c r="C11" s="124"/>
      <x:c r="D11" s="124"/>
      <x:c r="E11" s="124"/>
      <x:c r="F11" s="124"/>
    </x:row>
    <x:row r="12">
      <x:c r="A12" s="68" t="str">
        <x:v>음(-) 영향</x:v>
      </x:c>
      <x:c r="B12" s="68" t="str">
        <x:v>선택 Downside에서 시장연동 공헌이익을 훼손한 요인. 절대 손실기여도가 클수록 우선 보호 검토</x:v>
      </x:c>
      <x:c r="C12" s="68"/>
      <x:c r="D12" s="68"/>
      <x:c r="E12" s="68"/>
      <x:c r="F12" s="68"/>
    </x:row>
    <x:row r="13">
      <x:c r="A13" s="68" t="str">
        <x:v>양(+) 영향</x:v>
      </x:c>
      <x:c r="B13" s="68" t="str">
        <x:v>같은 경로에서 손실을 상쇄한 자연헤지 또는 우호요인</x:v>
      </x:c>
      <x:c r="C13" s="68"/>
      <x:c r="D13" s="68"/>
      <x:c r="E13" s="68"/>
      <x:c r="F13" s="68"/>
    </x:row>
    <x:row r="14">
      <x:c r="A14" s="68" t="str">
        <x:v>주의</x:v>
      </x:c>
      <x:c r="B14" s="68" t="str">
        <x:v>여기서는 ‘어떤 위험부터 볼 것인가’까지만 제안. 실제 FFA hedge ratio·월물·수량은 후속 고도화</x:v>
      </x:c>
      <x:c r="C14" s="68"/>
      <x:c r="D14" s="68"/>
      <x:c r="E14" s="68"/>
      <x:c r="F14" s="68"/>
    </x:row>
  </x:sheetData>
  <x:mergeCells>
    <x:mergeCell ref="A1:F1"/>
    <x:mergeCell ref="B11:F11"/>
    <x:mergeCell ref="B12:F12"/>
    <x:mergeCell ref="B13:F13"/>
    <x:mergeCell ref="A1:G1"/>
    <x:mergeCell ref="A11:F11"/>
    <x:mergeCell ref="B14:F14"/>
  </x:mergeCells>
  <x:conditionalFormatting sqref="E4:E8">
    <x:cfRule type="expression" dxfId="0" priority="1">
      <x:formula>E4&lt;0</x:formula>
    </x:cfRule>
    <x:cfRule type="expression" dxfId="1" priority="2">
      <x:formula>E4&gt;0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0" hidden="0" customWidth="1"/>
    <x:col min="3" max="3" width="40" hidden="0" customWidth="1"/>
    <x:col min="4" max="4" width="38" hidden="0" customWidth="1"/>
    <x:col min="5" max="5" width="12" hidden="0" customWidth="1"/>
    <x:col min="6" max="6" width="36" hidden="0" customWidth="1"/>
  </x:cols>
  <x:sheetData>
    <x:row r="1" ht="28" customHeight="1">
      <x:c r="A1" s="5" t="str">
        <x:v>MVP 범위와 고도화</x:v>
      </x:c>
      <x:c r="B1" s="5"/>
      <x:c r="C1" s="5"/>
      <x:c r="D1" s="5"/>
      <x:c r="E1" s="5"/>
      <x:c r="F1" s="5"/>
    </x:row>
    <x:row r="3">
      <x:c r="A3" s="15" t="str">
        <x:v>구분</x:v>
      </x:c>
      <x:c r="B3" s="15" t="str">
        <x:v>현재 MVP</x:v>
      </x:c>
      <x:c r="C3" s="15" t="str">
        <x:v>왜 이렇게 하는가</x:v>
      </x:c>
      <x:c r="D3" s="15" t="str">
        <x:v>고도화</x:v>
      </x:c>
      <x:c r="E3" s="15" t="str">
        <x:v>상태</x:v>
      </x:c>
      <x:c r="F3" s="15" t="str">
        <x:v>주의</x:v>
      </x:c>
    </x:row>
    <x:row r="4">
      <x:c r="A4" t="str">
        <x:v>분석시점</x:v>
      </x:c>
      <x:c r="B4" t="str">
        <x:v>2025-12 마지막 공개 관측값을 ‘현재’ proxy로 사용</x:v>
      </x:c>
      <x:c r="C4" t="str">
        <x:v>실시간 API 미연결</x:v>
      </x:c>
      <x:c r="D4" t="str">
        <x:v>실시간 현물·FFA curve 연결</x:v>
      </x:c>
      <x:c r="E4" t="str">
        <x:v>현재</x:v>
      </x:c>
      <x:c r="F4" t="str">
        <x:v>미래가격은 사용하지 않음</x:v>
      </x:c>
    </x:row>
    <x:row r="5">
      <x:c r="A5" t="str">
        <x:v>미래불확실성</x:v>
      </x:c>
      <x:c r="B5" t="str">
        <x:v>3/6/12개월 실제 rolling historical path</x:v>
      </x:c>
      <x:c r="C5" t="str">
        <x:v>운임의 큰 변동성과 변수 간 동시움직임을 투명하게 반영</x:v>
      </x:c>
      <x:c r="D5" t="str">
        <x:v>Bootstrap / Monte Carlo / GARCH</x:v>
      </x:c>
      <x:c r="E5" t="str">
        <x:v>현재</x:v>
      </x:c>
      <x:c r="F5" t="str">
        <x:v>과거 반복을 보장하지는 않음</x:v>
      </x:c>
    </x:row>
    <x:row r="6">
      <x:c r="A6" t="str">
        <x:v>A 운임</x:v>
      </x:c>
      <x:c r="B6" t="str">
        <x:v>KOBC Panamax TC 수준/변동을 P5TC proxy로 사용</x:v>
      </x:c>
      <x:c r="C6" t="str">
        <x:v>P5TC 역사자료 미확보</x:v>
      </x:c>
      <x:c r="D6" t="str">
        <x:v>실제 P5TC/Futures 데이터</x:v>
      </x:c>
      <x:c r="E6" t="str">
        <x:v>Proxy</x:v>
      </x:c>
      <x:c r="F6" t="str">
        <x:v>상품 실행비율과 동일하지 않음</x:v>
      </x:c>
    </x:row>
    <x:row r="7">
      <x:c r="A7" t="str">
        <x:v>C1/C2 운임</x:v>
      </x:c>
      <x:c r="B7" t="str">
        <x:v>USDA PNW/USG 실제 현물운임</x:v>
      </x:c>
      <x:c r="C7" t="str">
        <x:v>공개 데이터 확보</x:v>
      </x:c>
      <x:c r="D7" t="str">
        <x:v>Baltic 관련 FFA와 Basis Risk 연결</x:v>
      </x:c>
      <x:c r="E7" t="str">
        <x:v>현재</x:v>
      </x:c>
      <x:c r="F7" t="str"/>
    </x:row>
    <x:row r="8">
      <x:c r="A8" t="str">
        <x:v>연료</x:v>
      </x:c>
      <x:c r="B8" t="str">
        <x:v>VLSFO $535/t 기준 + Brent 누적변동률</x:v>
      </x:c>
      <x:c r="C8" t="str">
        <x:v>VLSFO 역사시계열 미확보</x:v>
      </x:c>
      <x:c r="D8" t="str">
        <x:v>VLSFO/Marine Fuel 현물·파생 데이터</x:v>
      </x:c>
      <x:c r="E8" t="str">
        <x:v>Proxy</x:v>
      </x:c>
      <x:c r="F8" t="str">
        <x:v>Brent와 VLSFO basis risk 존재</x:v>
      </x:c>
    </x:row>
    <x:row r="9">
      <x:c r="A9" t="str">
        <x:v>시장연동 공헌이익</x:v>
      </x:c>
      <x:c r="B9" t="str">
        <x:v>운임·용선수익 - 연료비 - D TC-in</x:v>
      </x:c>
      <x:c r="C9" t="str">
        <x:v>확인 가능한 핵심 시장항목만 사용</x:v>
      </x:c>
      <x:c r="D9" t="str">
        <x:v>항만비·운하비·OPEX 등 추가</x:v>
      </x:c>
      <x:c r="E9" t="str">
        <x:v>현재</x:v>
      </x:c>
      <x:c r="F9" t="str">
        <x:v>회계 영업이익/TCE가 아님</x:v>
      </x:c>
    </x:row>
    <x:row r="10">
      <x:c r="A10" t="str">
        <x:v>보호수준</x:v>
      </x:c>
      <x:c r="B10" t="str">
        <x:v>P10 Downside에서 Risk Limit을 지키는 경제적 보호 필요비율</x:v>
      </x:c>
      <x:c r="C10" t="str">
        <x:v>Need와 실행 Hedge Ratio를 분리</x:v>
      </x:c>
      <x:c r="D10" t="str">
        <x:v>실제 FFA hedge ratio/계약수량 산정</x:v>
      </x:c>
      <x:c r="E10" t="str">
        <x:v>현재</x:v>
      </x:c>
      <x:c r="F10" t="str">
        <x:v>‘헤지비율’로 부르지 않음</x:v>
      </x:c>
    </x:row>
    <x:row r="11">
      <x:c r="A11" t="str">
        <x:v>실행</x:v>
      </x:c>
      <x:c r="B11" t="str">
        <x:v>미포함</x:v>
      </x:c>
      <x:c r="C11" t="str">
        <x:v>실제 FFA 가격과 거래조건 부재</x:v>
      </x:c>
      <x:c r="D11" t="str">
        <x:v>월물·수량·진입가격·증거금·거래비용</x:v>
      </x:c>
      <x:c r="E11" t="str">
        <x:v>향후</x:v>
      </x:c>
      <x:c r="F11" t="str"/>
    </x:row>
    <x:row r="14">
      <x:c r="A14" s="42" t="str">
        <x:v>핵심 서비스 문장</x:v>
      </x:c>
      <x:c r="B14" s="42"/>
      <x:c r="C14" s="42"/>
      <x:c r="D14" s="42"/>
      <x:c r="E14" s="42"/>
      <x:c r="F14" s="42"/>
    </x:row>
    <x:row r="15">
      <x:c r="A15" t="str">
        <x:v>신규 계약 체결 후 미래 시장가격을 알 수 없는 상황에서, 현재 계약의 Downside를 실제 역사경로로 분석하고 회사가 정한 최소 수익수준을 지키기 위해 어느 정도의 시장노출을 보호해야 하는지 진단한다.</x:v>
      </x:c>
      <x:c r="B15" s="68"/>
      <x:c r="C15" s="68"/>
      <x:c r="D15" s="68"/>
      <x:c r="E15" s="68"/>
      <x:c r="F15" s="68"/>
    </x:row>
    <x:row r="16">
      <x:c r="A16" t="str">
        <x:v>현재 출력</x:v>
      </x:c>
      <x:c r="B16" s="68" t="str">
        <x:v>필요 경제적 보호수준 + 보호 우선순위</x:v>
      </x:c>
      <x:c r="C16" s="68"/>
      <x:c r="D16" s="68"/>
      <x:c r="E16" s="68"/>
      <x:c r="F16" s="68"/>
    </x:row>
    <x:row r="17">
      <x:c r="A17" t="str">
        <x:v>후속 출력</x:v>
      </x:c>
      <x:c r="B17" s="68" t="str">
        <x:v>실제 FFA 상품/헤지비율/월물/계약수량/비용을 연결한 실행안</x:v>
      </x:c>
      <x:c r="C17" s="68"/>
      <x:c r="D17" s="68"/>
      <x:c r="E17" s="68"/>
      <x:c r="F17" s="68"/>
    </x:row>
  </x:sheetData>
  <x:mergeCells>
    <x:mergeCell ref="A1:F1"/>
    <x:mergeCell ref="B15:F15"/>
    <x:mergeCell ref="B16:F16"/>
    <x:mergeCell ref="B17:F1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48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28" customHeight="1">
      <x:c r="A1" s="95" t="str">
        <x:v>BlueWave 경영진 입력 — 무엇을 지키고 싶은가</x:v>
      </x:c>
      <x:c r="B1" s="95"/>
      <x:c r="C1" s="95"/>
      <x:c r="D1" s="95"/>
      <x:c r="E1" s="95"/>
      <x:c r="F1" s="95"/>
    </x:row>
    <x:row r="3">
      <x:c r="A3" s="98" t="str">
        <x:v>경영진은 미래가격을 예측하지 않고, 기간·최소 수익수준·위험허용수준만 선택합니다.</x:v>
      </x:c>
      <x:c r="B3" s="98"/>
      <x:c r="C3" s="98"/>
      <x:c r="D3" s="98"/>
      <x:c r="E3" s="98"/>
      <x:c r="F3" s="98"/>
    </x:row>
    <x:row r="5">
      <x:c r="A5" s="100" t="str">
        <x:v>입력항목</x:v>
      </x:c>
      <x:c r="B5" s="100" t="str">
        <x:v>선택값</x:v>
      </x:c>
      <x:c r="C5" s="100" t="str">
        <x:v>의미</x:v>
      </x:c>
    </x:row>
    <x:row r="6">
      <x:c r="A6" t="str">
        <x:v>분석기간</x:v>
      </x:c>
      <x:c r="B6" s="102" t="n">
        <x:v>6</x:v>
      </x:c>
      <x:c r="C6" t="str">
        <x:v>신규 계약을 평가할 기간</x:v>
      </x:c>
    </x:row>
    <x:row r="7">
      <x:c r="A7" t="str">
        <x:v>최소 공헌이익 유지율</x:v>
      </x:c>
      <x:c r="B7" s="103" t="n">
        <x:v>0.95</x:v>
      </x:c>
      <x:c r="C7" t="str">
        <x:v>현재가격 기준 공헌이익(100%) 중 최소한 지키고 싶은 수준</x:v>
      </x:c>
    </x:row>
    <x:row r="8">
      <x:c r="A8" t="str">
        <x:v>위험허용수준</x:v>
      </x:c>
      <x:c r="B8" s="102" t="str">
        <x:v>보수적(P10)</x:v>
      </x:c>
      <x:c r="C8" t="str">
        <x:v>과거 관측경로 중 어느 정도 나쁜 상황까지 방어할지</x:v>
      </x:c>
    </x:row>
    <x:row r="10">
      <x:c r="A10" s="105" t="str">
        <x:v>자동 해석</x:v>
      </x:c>
      <x:c r="B10" s="105" t="str">
        <x:v>값</x:v>
      </x:c>
      <x:c r="C10" s="105" t="str">
        <x:v>주의</x:v>
      </x:c>
    </x:row>
    <x:row r="11">
      <x:c r="A11" t="str">
        <x:v>Downside 분위</x:v>
      </x:c>
      <x:c r="B11" s="70" t="n">
        <x:f>IF(B8="보통(P20)",20%,IF(B8="보수적(P10)",10%,5%))</x:f>
        <x:v>0.1</x:v>
      </x:c>
      <x:c r="C11" t="str">
        <x:v>미래 확률예측이 아니라 과거 관측경로의 위치</x:v>
      </x:c>
    </x:row>
    <x:row r="12">
      <x:c r="A12" t="str">
        <x:v>현재 데모 신규계약</x:v>
      </x:c>
      <x:c r="B12" s="24" t="str">
        <x:v>A Index-linked TC-out</x:v>
      </x:c>
      <x:c r="C12" t="str">
        <x:v>향후 웹에서 신규계약 입력형으로 확장</x:v>
      </x:c>
    </x:row>
    <x:row r="13">
      <x:c r="A13" t="str">
        <x:v>시장기준시점</x:v>
      </x:c>
      <x:c r="B13" s="24" t="str">
        <x:v>2025-12 마지막 관측값</x:v>
      </x:c>
      <x:c r="C13" t="str">
        <x:v>실시간 가격이 아닌 MVP proxy</x:v>
      </x:c>
    </x:row>
    <x:row r="15">
      <x:c r="A15" s="107" t="str">
        <x:v>해석: 예를 들어 ‘6개월 / 최소 공헌이익 유지율 95% / 보수적(P10)’을 선택하면, 과거 실제 6개월 공동시장경로 중 하위 약 10% 수준에서도 현재가격 기준 공헌이익(100%)의 95%를 지키기 위해 필요한 경제적 보호수준을 계산합니다.</x:v>
      </x:c>
      <x:c r="B15" s="107"/>
      <x:c r="C15" s="107"/>
      <x:c r="D15" s="107"/>
      <x:c r="E15" s="107"/>
      <x:c r="F15" s="107"/>
    </x:row>
    <x:row r="16">
      <x:c r="A16" s="107"/>
      <x:c r="B16" s="107"/>
      <x:c r="C16" s="107"/>
      <x:c r="D16" s="107"/>
      <x:c r="E16" s="107"/>
      <x:c r="F16" s="107"/>
    </x:row>
    <x:row r="17">
      <x:c r="A17" s="107"/>
      <x:c r="B17" s="107"/>
      <x:c r="C17" s="107"/>
      <x:c r="D17" s="107"/>
      <x:c r="E17" s="107"/>
      <x:c r="F17" s="107"/>
    </x:row>
  </x:sheetData>
  <x:mergeCells>
    <x:mergeCell ref="A1:F1"/>
    <x:mergeCell ref="A3:F3"/>
    <x:mergeCell ref="A15:F17"/>
  </x:mergeCells>
  <x:dataValidations count="2">
    <x:dataValidation type="list" sqref="B6">
      <x:formula1>"3,6,12"</x:formula1>
    </x:dataValidation>
    <x:dataValidation type="list" sqref="B8">
      <x:formula1>"보통(P20),보수적(P10),매우 보수적(P5)"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20" hidden="0" customWidth="1"/>
    <x:col min="10" max="10" width="12" hidden="0" customWidth="1"/>
    <x:col min="11" max="11" width="12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</x:cols>
  <x:sheetData>
    <x:row r="1">
      <x:c r="A1" s="94" t="str">
        <x:v>신규 계약 추가 전 vs 후 — Downside가 얼마나 달라졌는가</x:v>
      </x:c>
      <x:c r="B1" s="94"/>
      <x:c r="C1" s="94"/>
      <x:c r="D1" s="94"/>
      <x:c r="E1" s="94"/>
      <x:c r="F1" s="94"/>
      <x:c r="G1" s="94"/>
      <x:c r="H1" s="94"/>
    </x:row>
    <x:row r="3">
      <x:c r="A3" s="108" t="str">
        <x:v>선택조건</x:v>
      </x:c>
      <x:c r="B3" s="108" t="str">
        <x:v>기존 기준 공헌이익 (100%)</x:v>
      </x:c>
      <x:c r="C3" s="108" t="str">
        <x:v>기존 Downside</x:v>
      </x:c>
      <x:c r="D3" s="108" t="str">
        <x:v>신규계약 추가 후 기준</x:v>
      </x:c>
      <x:c r="E3" s="108" t="str">
        <x:v>신규계약 추가 후 Downside</x:v>
      </x:c>
      <x:c r="F3" s="108" t="str">
        <x:v>신규계약로 늘어난 Downside</x:v>
      </x:c>
      <x:c r="G3" s="108" t="str">
        <x:v>신규계약 위험기여율</x:v>
      </x:c>
      <x:c r="H3" s="108" t="str">
        <x:v>대표 역사경로</x:v>
      </x:c>
    </x:row>
    <x:row r="4">
      <x:c r="A4" s="111" t="str">
        <x:f>'07_경영진입력'!B6&amp;"개월 / "&amp;'07_경영진입력'!B8</x:f>
        <x:v>6개월 / 보수적(P10)</x:v>
      </x:c>
      <x:c r="B4" s="114" t="n">
        <x:f>SUMIFS($D$15:$D$23,$A$15:$A$23,'07_경영진입력'!$B$6,$B$15:$B$23,'07_경영진입력'!$B$8)</x:f>
        <x:v>31480345.299999997</x:v>
      </x:c>
      <x:c r="C4" s="114" t="n">
        <x:f>SUMIFS($E$15:$E$23,$A$15:$A$23,'07_경영진입력'!$B$6,$B$15:$B$23,'07_경영진입력'!$B$8)</x:f>
        <x:v>30195626.108689465</x:v>
      </x:c>
      <x:c r="D4" s="114" t="n">
        <x:f>SUMIFS($F$15:$F$23,$A$15:$A$23,'07_경영진입력'!$B$6,$B$15:$B$23,'07_경영진입력'!$B$8)</x:f>
        <x:v>42764782.9</x:v>
      </x:c>
      <x:c r="E4" s="114" t="n">
        <x:f>SUMIFS($G$15:$G$23,$A$15:$A$23,'07_경영진입력'!$B$6,$B$15:$B$23,'07_경영진입력'!$B$8)</x:f>
        <x:v>38724599.612374276</x:v>
      </x:c>
      <x:c r="F4" s="114" t="n">
        <x:f>SUMIFS($I$15:$I$23,$A$15:$A$23,'07_경영진입력'!$B$6,$B$15:$B$23,'07_경영진입력'!$B$8)</x:f>
        <x:v>2755464.09631519</x:v>
      </x:c>
      <x:c r="G4" s="115" t="n">
        <x:f>IF(($D$4-$E$4)=0,0,$F$4/($D$4-$E$4))</x:f>
        <x:v>0.6820146266023693</x:v>
      </x:c>
      <x:c r="H4" s="116" t="str">
        <x:f>TEXT(SUMIFS($J$15:$J$23,$A$15:$A$23,'07_경영진입력'!$B$6,$B$15:$B$23,'07_경영진입력'!$B$8),"yyyy-mm")&amp;" ~ "&amp;TEXT(SUMIFS($K$15:$K$23,$A$15:$A$23,'07_경영진입력'!$B$6,$B$15:$B$23,'07_경영진입력'!$B$8),"yyyy-mm")</x:f>
        <x:v>2024-10 ~ 2025-03</x:v>
      </x:c>
    </x:row>
    <x:row r="7">
      <x:c r="A7" s="105" t="str">
        <x:v>해석</x:v>
      </x:c>
      <x:c r="B7" s="105" t="str">
        <x:v>기존 포트폴리오</x:v>
      </x:c>
      <x:c r="C7" s="105" t="str">
        <x:v>신규계약 추가 후</x:v>
      </x:c>
      <x:c r="D7" s="105" t="str">
        <x:v>변화</x:v>
      </x:c>
    </x:row>
    <x:row r="8">
      <x:c r="A8" t="str">
        <x:v>기준 공헌이익 (100%)</x:v>
      </x:c>
      <x:c r="B8" s="66" t="n">
        <x:f>$B$4</x:f>
        <x:v>31480345.299999997</x:v>
      </x:c>
      <x:c r="C8" s="66" t="n">
        <x:f>$D$4</x:f>
        <x:v>42764782.9</x:v>
      </x:c>
      <x:c r="D8" s="66" t="n">
        <x:f>C8-B8</x:f>
        <x:v>11284437.600000001</x:v>
      </x:c>
    </x:row>
    <x:row r="9">
      <x:c r="A9" t="str">
        <x:v>선택 Downside 공헌이익</x:v>
      </x:c>
      <x:c r="B9" s="66" t="n">
        <x:f>$C$4</x:f>
        <x:v>30195626.108689465</x:v>
      </x:c>
      <x:c r="C9" s="66" t="n">
        <x:f>$E$4</x:f>
        <x:v>38724599.612374276</x:v>
      </x:c>
      <x:c r="D9" s="66" t="n">
        <x:f>C9-B9</x:f>
        <x:v>8528973.503684811</x:v>
      </x:c>
    </x:row>
    <x:row r="10">
      <x:c r="A10" t="str">
        <x:v>Downside 손실폭</x:v>
      </x:c>
      <x:c r="B10" s="66" t="n">
        <x:f>B8-B9</x:f>
        <x:v>1284719.1913105324</x:v>
      </x:c>
      <x:c r="C10" s="66" t="n">
        <x:f>C8-C9</x:f>
        <x:v>4040183.2876257226</x:v>
      </x:c>
      <x:c r="D10" s="66" t="n">
        <x:f>C10-B10</x:f>
        <x:v>2755464.09631519</x:v>
      </x:c>
    </x:row>
    <x:row r="11">
      <x:c r="A11" t="str">
        <x:v>공헌이익 유지율</x:v>
      </x:c>
      <x:c r="B11" s="62" t="n">
        <x:f>IF(B8=0,0,B9/B8)</x:f>
        <x:v>0.9591897998872797</x:v>
      </x:c>
      <x:c r="C11" s="62" t="n">
        <x:f>IF(C8=0,0,C9/C8)</x:f>
        <x:v>0.9055254577797536</x:v>
      </x:c>
      <x:c r="D11" s="62" t="n">
        <x:f>C11-B11</x:f>
        <x:v>-0.05366434210752613</x:v>
      </x:c>
    </x:row>
    <x:row r="14">
      <x:c r="A14" s="108" t="str">
        <x:v>기간</x:v>
      </x:c>
      <x:c r="B14" s="108" t="str">
        <x:v>위험허용수준</x:v>
      </x:c>
      <x:c r="C14" s="108" t="str">
        <x:v>분위</x:v>
      </x:c>
      <x:c r="D14" s="108" t="str">
        <x:v>기존 기준</x:v>
      </x:c>
      <x:c r="E14" s="108" t="str">
        <x:v>기존 Downside</x:v>
      </x:c>
      <x:c r="F14" s="108" t="str">
        <x:v>추가후 기준</x:v>
      </x:c>
      <x:c r="G14" s="108" t="str">
        <x:v>추가후 Downside</x:v>
      </x:c>
      <x:c r="H14" s="108" t="str">
        <x:v>신규계약 기준기여</x:v>
      </x:c>
      <x:c r="I14" s="108" t="str">
        <x:v>신규계약 추가 Downside</x:v>
      </x:c>
      <x:c r="J14" s="108" t="str">
        <x:v>경로시작</x:v>
      </x:c>
      <x:c r="K14" s="108" t="str">
        <x:v>경로종료</x:v>
      </x:c>
      <x:c r="L14" s="108" t="str">
        <x:v>A 영향</x:v>
      </x:c>
      <x:c r="M14" s="108" t="str">
        <x:v>C1 영향</x:v>
      </x:c>
      <x:c r="N14" s="108" t="str">
        <x:v>C2 영향</x:v>
      </x:c>
      <x:c r="O14" s="108" t="str">
        <x:v>D 영향</x:v>
      </x:c>
      <x:c r="P14" s="108" t="str">
        <x:v>Fuel 영향</x:v>
      </x:c>
    </x:row>
    <x:row r="15">
      <x:c r="A15" t="n">
        <x:v>3</x:v>
      </x:c>
      <x:c r="B15" t="str">
        <x:v>매우 보수적(P5)</x:v>
      </x:c>
      <x:c r="C15" s="62" t="n">
        <x:v>0.05</x:v>
      </x:c>
      <x:c r="D15" s="72" t="n">
        <x:f>F15-H15</x:f>
        <x:v>15048032.649999999</x:v>
      </x:c>
      <x:c r="E15" s="72" t="n">
        <x:f>G15-H15-L15</x:f>
        <x:v>14826494.75351039</x:v>
      </x:c>
      <x:c r="F15" s="72" t="n">
        <x:f>'03_역사경로분석'!$C$4</x:f>
        <x:v>20690251.45</x:v>
      </x:c>
      <x:c r="G15" s="72" t="n">
        <x:f>'03_역사경로분석'!$D$17</x:f>
        <x:v>18808787.62361617</x:v>
      </x:c>
      <x:c r="H15" s="72" t="n">
        <x:f>('01_입력및노출'!$B$33/12)*A15*'01_입력및노출'!$C$8</x:f>
        <x:v>5642218.8</x:v>
      </x:c>
      <x:c r="I15" s="72" t="n">
        <x:f>(F15-G15)-(D15-E15)</x:f>
        <x:v>1659925.92989422</x:v>
      </x:c>
      <x:c r="J15" s="30" t="n">
        <x:f>'03_역사경로분석'!$B$17</x:f>
        <x:v>44713</x:v>
      </x:c>
      <x:c r="K15" s="30" t="n">
        <x:f>'03_역사경로분석'!$C$17</x:f>
        <x:v>44774</x:v>
      </x:c>
      <x:c r="L15" s="72" t="n">
        <x:f>'03_역사경로분석'!$F$17</x:f>
        <x:v>-1659925.929894221</x:v>
      </x:c>
      <x:c r="M15" s="72" t="n">
        <x:f>'03_역사경로분석'!$G$17</x:f>
        <x:v>-252722.4908108106</x:v>
      </x:c>
      <x:c r="N15" s="72" t="n">
        <x:f>'03_역사경로분석'!$H$17</x:f>
        <x:v>-109869.56254607951</x:v>
      </x:c>
      <x:c r="O15" s="72" t="n">
        <x:f>'03_역사경로분석'!$I$17</x:f>
        <x:v>251252.16727843232</x:v>
      </x:c>
      <x:c r="P15" s="72" t="n">
        <x:f>'03_역사경로분석'!$J$17</x:f>
        <x:v>-110198.01041115238</x:v>
      </x:c>
    </x:row>
    <x:row r="16">
      <x:c r="A16" t="n">
        <x:v>3</x:v>
      </x:c>
      <x:c r="B16" t="str">
        <x:v>보수적(P10)</x:v>
      </x:c>
      <x:c r="C16" s="62" t="n">
        <x:v>0.1</x:v>
      </x:c>
      <x:c r="D16" s="72" t="n">
        <x:f>F16-H16</x:f>
        <x:v>15048032.649999999</x:v>
      </x:c>
      <x:c r="E16" s="72" t="n">
        <x:f>G16-H16-L16</x:f>
        <x:v>14374437.079345493</x:v>
      </x:c>
      <x:c r="F16" s="72" t="n">
        <x:f>'03_역사경로분석'!$C$4</x:f>
        <x:v>20690251.45</x:v>
      </x:c>
      <x:c r="G16" s="72" t="n">
        <x:f>'03_역사경로분석'!$D$24</x:f>
        <x:v>18914576.20674095</x:v>
      </x:c>
      <x:c r="H16" s="72" t="n">
        <x:f>('01_입력및노출'!$B$33/12)*A16*'01_입력및노출'!$C$8</x:f>
        <x:v>5642218.8</x:v>
      </x:c>
      <x:c r="I16" s="72" t="n">
        <x:f>(F16-G16)-(D16-E16)</x:f>
        <x:v>1102079.672604544</x:v>
      </x:c>
      <x:c r="J16" s="30" t="n">
        <x:f>'03_역사경로분석'!$B$24</x:f>
        <x:v>44927</x:v>
      </x:c>
      <x:c r="K16" s="30" t="n">
        <x:f>'03_역사경로분석'!$C$24</x:f>
        <x:v>44986</x:v>
      </x:c>
      <x:c r="L16" s="72" t="n">
        <x:f>'03_역사경로분석'!$F$24</x:f>
        <x:v>-1102079.6726045443</x:v>
      </x:c>
      <x:c r="M16" s="72" t="n">
        <x:f>'03_역사경로분석'!$G$24</x:f>
        <x:v>-481322.2542266757</x:v>
      </x:c>
      <x:c r="N16" s="72" t="n">
        <x:f>'03_역사경로분석'!$H$24</x:f>
        <x:v>-291458.3700052807</x:v>
      </x:c>
      <x:c r="O16" s="72" t="n">
        <x:f>'03_역사경로분석'!$I$24</x:f>
        <x:v>151068.5496229273</x:v>
      </x:c>
      <x:c r="P16" s="72" t="n">
        <x:f>'03_역사경로분석'!$J$24</x:f>
        <x:v>-51883.49604547722</x:v>
      </x:c>
    </x:row>
    <x:row r="17">
      <x:c r="A17" t="n">
        <x:v>3</x:v>
      </x:c>
      <x:c r="B17" t="str">
        <x:v>보통(P20)</x:v>
      </x:c>
      <x:c r="C17" s="62" t="n">
        <x:v>0.2</x:v>
      </x:c>
      <x:c r="D17" s="72" t="n">
        <x:f>F17-H17</x:f>
        <x:v>15048032.649999999</x:v>
      </x:c>
      <x:c r="E17" s="72" t="n">
        <x:f>G17-H17-L17</x:f>
        <x:v>15107810.627235213</x:v>
      </x:c>
      <x:c r="F17" s="72" t="n">
        <x:f>'03_역사경로분석'!$C$4</x:f>
        <x:v>20690251.45</x:v>
      </x:c>
      <x:c r="G17" s="72" t="n">
        <x:f>'03_역사경로분석'!$D$23</x:f>
        <x:v>19411048.710690804</x:v>
      </x:c>
      <x:c r="H17" s="72" t="n">
        <x:f>('01_입력및노출'!$B$33/12)*A17*'01_입력및노출'!$C$8</x:f>
        <x:v>5642218.8</x:v>
      </x:c>
      <x:c r="I17" s="72" t="n">
        <x:f>(F17-G17)-(D17-E17)</x:f>
        <x:v>1338980.7165444102</x:v>
      </x:c>
      <x:c r="J17" s="30" t="n">
        <x:f>'03_역사경로분석'!$B$23</x:f>
        <x:v>44896</x:v>
      </x:c>
      <x:c r="K17" s="30" t="n">
        <x:f>'03_역사경로분석'!$C$23</x:f>
        <x:v>44958</x:v>
      </x:c>
      <x:c r="L17" s="72" t="n">
        <x:f>'03_역사경로분석'!$F$23</x:f>
        <x:v>-1338980.7165444107</x:v>
      </x:c>
      <x:c r="M17" s="72" t="n">
        <x:f>'03_역사경로분석'!$G$23</x:f>
        <x:v>-383856.00000000023</x:v>
      </x:c>
      <x:c r="N17" s="72" t="n">
        <x:f>'03_역사경로분석'!$H$23</x:f>
        <x:v>-64898.6685111532</x:v>
      </x:c>
      <x:c r="O17" s="72" t="n">
        <x:f>'03_역사경로분석'!$I$23</x:f>
        <x:v>229468.8741427774</x:v>
      </x:c>
      <x:c r="P17" s="72" t="n">
        <x:f>'03_역사경로분석'!$J$23</x:f>
        <x:v>279063.7716035878</x:v>
      </x:c>
    </x:row>
    <x:row r="18">
      <x:c r="A18" t="n">
        <x:v>6</x:v>
      </x:c>
      <x:c r="B18" t="str">
        <x:v>매우 보수적(P5)</x:v>
      </x:c>
      <x:c r="C18" s="62" t="n">
        <x:v>0.05</x:v>
      </x:c>
      <x:c r="D18" s="72" t="n">
        <x:f>F18-H18</x:f>
        <x:v>31480345.299999997</x:v>
      </x:c>
      <x:c r="E18" s="72" t="n">
        <x:f>G18-H18-L18</x:f>
        <x:v>29767485.08251847</x:v>
      </x:c>
      <x:c r="F18" s="72" t="n">
        <x:f>'03_역사경로분석'!$C$5</x:f>
        <x:v>42764782.9</x:v>
      </x:c>
      <x:c r="G18" s="72" t="n">
        <x:f>'03_역사경로분석'!$D$69</x:f>
        <x:v>37497700.943086796</x:v>
      </x:c>
      <x:c r="H18" s="72" t="n">
        <x:f>('01_입력및노출'!$B$33/12)*A18*'01_입력및노출'!$C$8</x:f>
        <x:v>11284437.6</x:v>
      </x:c>
      <x:c r="I18" s="72" t="n">
        <x:f>(F18-G18)-(D18-E18)</x:f>
        <x:v>3554221.7394316755</x:v>
      </x:c>
      <x:c r="J18" s="30" t="n">
        <x:f>'03_역사경로분석'!$B$69</x:f>
        <x:v>44866</x:v>
      </x:c>
      <x:c r="K18" s="30" t="n">
        <x:f>'03_역사경로분석'!$C$69</x:f>
        <x:v>45017</x:v>
      </x:c>
      <x:c r="L18" s="72" t="n">
        <x:f>'03_역사경로분석'!$F$69</x:f>
        <x:v>-3554221.739431676</x:v>
      </x:c>
      <x:c r="M18" s="72" t="n">
        <x:f>'03_역사경로분석'!$G$69</x:f>
        <x:v>-1574780.3188565152</x:v>
      </x:c>
      <x:c r="N18" s="72" t="n">
        <x:f>'03_역사경로분석'!$H$69</x:f>
        <x:v>-1101615.009590793</x:v>
      </x:c>
      <x:c r="O18" s="72" t="n">
        <x:f>'03_역사경로분석'!$I$69</x:f>
        <x:v>389752.91338729754</x:v>
      </x:c>
      <x:c r="P18" s="72" t="n">
        <x:f>'03_역사경로분석'!$J$69</x:f>
        <x:v>573782.1975784847</x:v>
      </x:c>
    </x:row>
    <x:row r="19">
      <x:c r="A19" t="n">
        <x:v>6</x:v>
      </x:c>
      <x:c r="B19" t="str">
        <x:v>보수적(P10)</x:v>
      </x:c>
      <x:c r="C19" s="62" t="n">
        <x:v>0.1</x:v>
      </x:c>
      <x:c r="D19" s="72" t="n">
        <x:f>F19-H19</x:f>
        <x:v>31480345.299999997</x:v>
      </x:c>
      <x:c r="E19" s="72" t="n">
        <x:f>G19-H19-L19</x:f>
        <x:v>30195626.108689465</x:v>
      </x:c>
      <x:c r="F19" s="72" t="n">
        <x:f>'03_역사경로분석'!$C$5</x:f>
        <x:v>42764782.9</x:v>
      </x:c>
      <x:c r="G19" s="72" t="n">
        <x:f>'03_역사경로분석'!$D$92</x:f>
        <x:v>38724599.612374276</x:v>
      </x:c>
      <x:c r="H19" s="72" t="n">
        <x:f>('01_입력및노출'!$B$33/12)*A19*'01_입력및노출'!$C$8</x:f>
        <x:v>11284437.6</x:v>
      </x:c>
      <x:c r="I19" s="72" t="n">
        <x:f>(F19-G19)-(D19-E19)</x:f>
        <x:v>2755464.09631519</x:v>
      </x:c>
      <x:c r="J19" s="30" t="n">
        <x:f>'03_역사경로분석'!$B$92</x:f>
        <x:v>45566</x:v>
      </x:c>
      <x:c r="K19" s="30" t="n">
        <x:f>'03_역사경로분석'!$C$92</x:f>
        <x:v>45717</x:v>
      </x:c>
      <x:c r="L19" s="72" t="n">
        <x:f>'03_역사경로분석'!$F$92</x:f>
        <x:v>-2755464.096315192</x:v>
      </x:c>
      <x:c r="M19" s="72" t="n">
        <x:f>'03_역사경로분석'!$G$92</x:f>
        <x:v>-679425.1199999994</x:v>
      </x:c>
      <x:c r="N19" s="72" t="n">
        <x:f>'03_역사경로분석'!$H$92</x:f>
        <x:v>-788464.2857142854</x:v>
      </x:c>
      <x:c r="O19" s="72" t="n">
        <x:f>'03_역사경로분석'!$I$92</x:f>
        <x:v>338607.1571219419</x:v>
      </x:c>
      <x:c r="P19" s="72" t="n">
        <x:f>'03_역사경로분석'!$J$92</x:f>
        <x:v>-155436.94271818397</x:v>
      </x:c>
    </x:row>
    <x:row r="20">
      <x:c r="A20" t="n">
        <x:v>6</x:v>
      </x:c>
      <x:c r="B20" t="str">
        <x:v>보통(P20)</x:v>
      </x:c>
      <x:c r="C20" s="62" t="n">
        <x:v>0.2</x:v>
      </x:c>
      <x:c r="D20" s="72" t="n">
        <x:f>F20-H20</x:f>
        <x:v>31480345.299999997</x:v>
      </x:c>
      <x:c r="E20" s="72" t="n">
        <x:f>G20-H20-L20</x:f>
        <x:v>30290417.64900209</x:v>
      </x:c>
      <x:c r="F20" s="72" t="n">
        <x:f>'03_역사경로분석'!$C$5</x:f>
        <x:v>42764782.9</x:v>
      </x:c>
      <x:c r="G20" s="72" t="n">
        <x:f>'03_역사경로분석'!$D$63</x:f>
        <x:v>39388891.860703684</x:v>
      </x:c>
      <x:c r="H20" s="72" t="n">
        <x:f>('01_입력및노출'!$B$33/12)*A20*'01_입력및노출'!$C$8</x:f>
        <x:v>11284437.6</x:v>
      </x:c>
      <x:c r="I20" s="72" t="n">
        <x:f>(F20-G20)-(D20-E20)</x:f>
        <x:v>2185963.388298407</x:v>
      </x:c>
      <x:c r="J20" s="30" t="n">
        <x:f>'03_역사경로분석'!$B$63</x:f>
        <x:v>44682</x:v>
      </x:c>
      <x:c r="K20" s="30" t="n">
        <x:f>'03_역사경로분석'!$C$63</x:f>
        <x:v>44835</x:v>
      </x:c>
      <x:c r="L20" s="72" t="n">
        <x:f>'03_역사경로분석'!$F$63</x:f>
        <x:v>-2185963.3882984053</x:v>
      </x:c>
      <x:c r="M20" s="72" t="n">
        <x:f>'03_역사경로분석'!$G$63</x:f>
        <x:v>-912579.6881355916</x:v>
      </x:c>
      <x:c r="N20" s="72" t="n">
        <x:f>'03_역사경로분석'!$H$63</x:f>
        <x:v>-538566.3057324854</x:v>
      </x:c>
      <x:c r="O20" s="72" t="n">
        <x:f>'03_역사경로분석'!$I$63</x:f>
        <x:v>304699.24265980645</x:v>
      </x:c>
      <x:c r="P20" s="72" t="n">
        <x:f>'03_역사경로분석'!$J$63</x:f>
        <x:v>-43480.89978963521</x:v>
      </x:c>
    </x:row>
    <x:row r="21">
      <x:c r="A21" t="n">
        <x:v>12</x:v>
      </x:c>
      <x:c r="B21" t="str">
        <x:v>매우 보수적(P5)</x:v>
      </x:c>
      <x:c r="C21" s="62" t="n">
        <x:v>0.05</x:v>
      </x:c>
      <x:c r="D21" s="72" t="n">
        <x:f>F21-H21</x:f>
        <x:v>60192130.599999994</x:v>
      </x:c>
      <x:c r="E21" s="72" t="n">
        <x:f>G21-H21-L21</x:f>
        <x:v>56682274.5857916</x:v>
      </x:c>
      <x:c r="F21" s="72" t="n">
        <x:f>'03_역사경로분석'!$C$6</x:f>
        <x:v>82761005.8</x:v>
      </x:c>
      <x:c r="G21" s="72" t="n">
        <x:f>'03_역사경로분석'!$D$109</x:f>
        <x:v>69762521.52012132</x:v>
      </x:c>
      <x:c r="H21" s="72" t="n">
        <x:f>('01_입력및노출'!$B$33/12)*A21*'01_입력및노출'!$C$8</x:f>
        <x:v>22568875.2</x:v>
      </x:c>
      <x:c r="I21" s="72" t="n">
        <x:f>(F21-G21)-(D21-E21)</x:f>
        <x:v>9488628.265670285</x:v>
      </x:c>
      <x:c r="J21" s="30" t="n">
        <x:f>'03_역사경로분석'!$B$109</x:f>
        <x:v>44743</x:v>
      </x:c>
      <x:c r="K21" s="30" t="n">
        <x:f>'03_역사경로분석'!$C$109</x:f>
        <x:v>45078</x:v>
      </x:c>
      <x:c r="L21" s="72" t="n">
        <x:f>'03_역사경로분석'!$F$109</x:f>
        <x:v>-9488628.265670285</x:v>
      </x:c>
      <x:c r="M21" s="72" t="n">
        <x:f>'03_역사경로분석'!$G$109</x:f>
        <x:v>-4047935.9999999986</x:v>
      </x:c>
      <x:c r="N21" s="72" t="n">
        <x:f>'03_역사경로분석'!$H$109</x:f>
        <x:v>-3488883.72387587</x:v>
      </x:c>
      <x:c r="O21" s="72" t="n">
        <x:f>'03_역사경로분석'!$I$109</x:f>
        <x:v>1287710.083231165</x:v>
      </x:c>
      <x:c r="P21" s="72" t="n">
        <x:f>'03_역사경로분석'!$J$109</x:f>
        <x:v>2739253.6264363118</x:v>
      </x:c>
    </x:row>
    <x:row r="22">
      <x:c r="A22" t="n">
        <x:v>12</x:v>
      </x:c>
      <x:c r="B22" t="str">
        <x:v>보수적(P10)</x:v>
      </x:c>
      <x:c r="C22" s="62" t="n">
        <x:v>0.1</x:v>
      </x:c>
      <x:c r="D22" s="72" t="n">
        <x:f>F22-H22</x:f>
        <x:v>60192130.599999994</x:v>
      </x:c>
      <x:c r="E22" s="72" t="n">
        <x:f>G22-H22-L22</x:f>
        <x:v>56711284.24172353</x:v>
      </x:c>
      <x:c r="F22" s="72" t="n">
        <x:f>'03_역사경로분석'!$C$6</x:f>
        <x:v>82761005.8</x:v>
      </x:c>
      <x:c r="G22" s="72" t="n">
        <x:f>'03_역사경로분석'!$D$113</x:f>
        <x:v>71548409.96763772</x:v>
      </x:c>
      <x:c r="H22" s="72" t="n">
        <x:f>('01_입력및노출'!$B$33/12)*A22*'01_입력및노출'!$C$8</x:f>
        <x:v>22568875.2</x:v>
      </x:c>
      <x:c r="I22" s="72" t="n">
        <x:f>(F22-G22)-(D22-E22)</x:f>
        <x:v>7731749.474085815</x:v>
      </x:c>
      <x:c r="J22" s="30" t="n">
        <x:f>'03_역사경로분석'!$B$113</x:f>
        <x:v>44866</x:v>
      </x:c>
      <x:c r="K22" s="30" t="n">
        <x:f>'03_역사경로분석'!$C$113</x:f>
        <x:v>45200</x:v>
      </x:c>
      <x:c r="L22" s="72" t="n">
        <x:f>'03_역사경로분석'!$F$113</x:f>
        <x:v>-7731749.474085815</x:v>
      </x:c>
      <x:c r="M22" s="72" t="n">
        <x:f>'03_역사경로분석'!$G$113</x:f>
        <x:v>-3022945.134689392</x:v>
      </x:c>
      <x:c r="N22" s="72" t="n">
        <x:f>'03_역사경로분석'!$H$113</x:f>
        <x:v>-2474369.6451406637</x:v>
      </x:c>
      <x:c r="O22" s="72" t="n">
        <x:f>'03_역사경로분석'!$I$113</x:f>
        <x:v>895837.4615193027</x:v>
      </x:c>
      <x:c r="P22" s="72" t="n">
        <x:f>'03_역사경로분석'!$J$113</x:f>
        <x:v>1120630.960034287</x:v>
      </x:c>
    </x:row>
    <x:row r="23">
      <x:c r="A23" t="n">
        <x:v>12</x:v>
      </x:c>
      <x:c r="B23" t="str">
        <x:v>보통(P20)</x:v>
      </x:c>
      <x:c r="C23" s="62" t="n">
        <x:v>0.2</x:v>
      </x:c>
      <x:c r="D23" s="72" t="n">
        <x:f>F23-H23</x:f>
        <x:v>60192130.599999994</x:v>
      </x:c>
      <x:c r="E23" s="72" t="n">
        <x:f>G23-H23-L23</x:f>
        <x:v>58986143.5322984</x:v>
      </x:c>
      <x:c r="F23" s="72" t="n">
        <x:f>'03_역사경로분석'!$C$6</x:f>
        <x:v>82761005.8</x:v>
      </x:c>
      <x:c r="G23" s="72" t="n">
        <x:f>'03_역사경로분석'!$D$106</x:f>
        <x:v>73454676.98045595</x:v>
      </x:c>
      <x:c r="H23" s="72" t="n">
        <x:f>('01_입력및노출'!$B$33/12)*A23*'01_입력및노출'!$C$8</x:f>
        <x:v>22568875.2</x:v>
      </x:c>
      <x:c r="I23" s="72" t="n">
        <x:f>(F23-G23)-(D23-E23)</x:f>
        <x:v>8100341.751842454</x:v>
      </x:c>
      <x:c r="J23" s="30" t="n">
        <x:f>'03_역사경로분석'!$B$106</x:f>
        <x:v>44652</x:v>
      </x:c>
      <x:c r="K23" s="30" t="n">
        <x:f>'03_역사경로분석'!$C$106</x:f>
        <x:v>44986</x:v>
      </x:c>
      <x:c r="L23" s="72" t="n">
        <x:f>'03_역사경로분석'!$F$106</x:f>
        <x:v>-8100341.751842452</x:v>
      </x:c>
      <x:c r="M23" s="72" t="n">
        <x:f>'03_역사경로분석'!$G$106</x:f>
        <x:v>-2049620.835472577</x:v>
      </x:c>
      <x:c r="N23" s="72" t="n">
        <x:f>'03_역사경로분석'!$H$106</x:f>
        <x:v>-1974777.5229357802</x:v>
      </x:c>
      <x:c r="O23" s="72" t="n">
        <x:f>'03_역사경로분석'!$I$106</x:f>
        <x:v>1055954.744864532</x:v>
      </x:c>
      <x:c r="P23" s="72" t="n">
        <x:f>'03_역사경로분석'!$J$106</x:f>
        <x:v>1762456.5458422157</x:v>
      </x:c>
    </x:row>
    <x:row r="26">
      <x:c r="A26" s="117" t="str">
        <x:v>현재 데모에서는 A(Index-linked TC-out)를 새로 체결한 계약으로 둡니다. ‘신규계약로 늘어난 Downside’는 새 계약을 추가하면서 회사 전체의 하방손실폭이 얼마나 커졌는지를 뜻합니다. 신규계약이 수익을 늘리더라도 Downside를 크게 확대하면 보호 필요성이 높아집니다.</x:v>
      </x:c>
      <x:c r="B26" s="117"/>
      <x:c r="C26" s="117"/>
      <x:c r="D26" s="117"/>
      <x:c r="E26" s="117"/>
      <x:c r="F26" s="117"/>
      <x:c r="G26" s="117"/>
      <x:c r="H26" s="117"/>
    </x:row>
    <x:row r="27">
      <x:c r="A27" s="117"/>
      <x:c r="B27" s="117"/>
      <x:c r="C27" s="117"/>
      <x:c r="D27" s="117"/>
      <x:c r="E27" s="117"/>
      <x:c r="F27" s="117"/>
      <x:c r="G27" s="117"/>
      <x:c r="H27" s="117"/>
    </x:row>
    <x:row r="28">
      <x:c r="A28" s="117"/>
      <x:c r="B28" s="117"/>
      <x:c r="C28" s="117"/>
      <x:c r="D28" s="117"/>
      <x:c r="E28" s="117"/>
      <x:c r="F28" s="117"/>
      <x:c r="G28" s="117"/>
      <x:c r="H28" s="117"/>
    </x:row>
  </x:sheetData>
  <x:mergeCells>
    <x:mergeCell ref="A1:H1"/>
    <x:mergeCell ref="A26:H28"/>
  </x:mergeCells>
  <x:conditionalFormatting sqref="F4:F4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{A6A6AEDC-1268-B98B-0785-2DD9A90EEACD}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887568d1b04494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A6A6AEDC-1268-B98B-0785-2DD9A90EEACD}">
            <x14:dataBar gradient="1">
              <x14:cfvo type="min"/>
              <x14:cfvo type="max"/>
              <x14:fillColor rgb="FFA02B93"/>
            </x14:dataBar>
          </x14:cfRule>
          <xm:sqref>F4:F4</xm:sqref>
        </x14:conditionalFormatting>
      </x14:conditionalFormattings>
    </x:ext>
  </x:extLst>
</x:worksheet>
</file>